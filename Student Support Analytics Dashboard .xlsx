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harvardbusiness-my.sharepoint.com/personal/sakshi_priya_harvardbusiness_org/Documents/Desktop/"/>
    </mc:Choice>
  </mc:AlternateContent>
  <xr:revisionPtr revIDLastSave="0" documentId="8_{EF8A47CC-0E95-478D-A195-A28DB627BAD2}" xr6:coauthVersionLast="47" xr6:coauthVersionMax="47" xr10:uidLastSave="{00000000-0000-0000-0000-000000000000}"/>
  <bookViews>
    <workbookView xWindow="-110" yWindow="-110" windowWidth="19420" windowHeight="10300" activeTab="1" xr2:uid="{00000000-000D-0000-FFFF-FFFF00000000}"/>
  </bookViews>
  <sheets>
    <sheet name="Pivot Table" sheetId="9" r:id="rId1"/>
    <sheet name="Dashboard" sheetId="10" r:id="rId2"/>
    <sheet name="Sheet1" sheetId="1" r:id="rId3"/>
  </sheets>
  <definedNames>
    <definedName name="NativeTimeline_Date">#N/A</definedName>
    <definedName name="Slicer_Support_Agent">#N/A</definedName>
    <definedName name="Z_7F091B67_53E7_4D79_8CF2_8E7B812206CA_.wvu.FilterData" localSheetId="2" hidden="1">Sheet1!$A$1:$J$151</definedName>
  </definedNames>
  <calcPr calcId="191029"/>
  <customWorkbookViews>
    <customWorkbookView name="Filter 1" guid="{7F091B67-53E7-4D79-8CF2-8E7B812206CA}" maximized="1" windowWidth="0" windowHeight="0" activeSheetId="0"/>
  </customWorkbookViews>
  <pivotCaches>
    <pivotCache cacheId="2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9" l="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alcChain>
</file>

<file path=xl/sharedStrings.xml><?xml version="1.0" encoding="utf-8"?>
<sst xmlns="http://schemas.openxmlformats.org/spreadsheetml/2006/main" count="958" uniqueCount="254">
  <si>
    <t>Ticket ID</t>
  </si>
  <si>
    <t>Date</t>
  </si>
  <si>
    <t>Student</t>
  </si>
  <si>
    <t>Support Agent</t>
  </si>
  <si>
    <t>Category</t>
  </si>
  <si>
    <t>Priority</t>
  </si>
  <si>
    <t>Status</t>
  </si>
  <si>
    <t>Resolution Time (hrs)</t>
  </si>
  <si>
    <t>Satisfaction</t>
  </si>
  <si>
    <t>T001</t>
  </si>
  <si>
    <t>Student 014</t>
  </si>
  <si>
    <t>Agent A</t>
  </si>
  <si>
    <t>Admission</t>
  </si>
  <si>
    <t>High</t>
  </si>
  <si>
    <t>Resolved</t>
  </si>
  <si>
    <t>T002</t>
  </si>
  <si>
    <t>Student 004</t>
  </si>
  <si>
    <t>Agent B</t>
  </si>
  <si>
    <t>Exam</t>
  </si>
  <si>
    <t>Low</t>
  </si>
  <si>
    <t>T003</t>
  </si>
  <si>
    <t>Student 026</t>
  </si>
  <si>
    <t>Payment</t>
  </si>
  <si>
    <t>Pending</t>
  </si>
  <si>
    <t>T004</t>
  </si>
  <si>
    <t>Student 036</t>
  </si>
  <si>
    <t>Agent C</t>
  </si>
  <si>
    <t>Medium</t>
  </si>
  <si>
    <t>T005</t>
  </si>
  <si>
    <t>Student 044</t>
  </si>
  <si>
    <t>T006</t>
  </si>
  <si>
    <t>Student 034</t>
  </si>
  <si>
    <t>Escalated</t>
  </si>
  <si>
    <t>In Progress</t>
  </si>
  <si>
    <t>T007</t>
  </si>
  <si>
    <t>Student 071</t>
  </si>
  <si>
    <t>T008</t>
  </si>
  <si>
    <t>Student 025</t>
  </si>
  <si>
    <t>T009</t>
  </si>
  <si>
    <t>Student 030</t>
  </si>
  <si>
    <t>T010</t>
  </si>
  <si>
    <t>Student 021</t>
  </si>
  <si>
    <t>Course</t>
  </si>
  <si>
    <t>T011</t>
  </si>
  <si>
    <t>Student 078</t>
  </si>
  <si>
    <t>Technical</t>
  </si>
  <si>
    <t>T012</t>
  </si>
  <si>
    <t>Student 035</t>
  </si>
  <si>
    <t>T013</t>
  </si>
  <si>
    <t>T014</t>
  </si>
  <si>
    <t>Student 028</t>
  </si>
  <si>
    <t>T015</t>
  </si>
  <si>
    <t>Student 019</t>
  </si>
  <si>
    <t>T016</t>
  </si>
  <si>
    <t>Student 075</t>
  </si>
  <si>
    <t>T017</t>
  </si>
  <si>
    <t>Student 064</t>
  </si>
  <si>
    <t>Certificate</t>
  </si>
  <si>
    <t>T018</t>
  </si>
  <si>
    <t>Student 077</t>
  </si>
  <si>
    <t>T019</t>
  </si>
  <si>
    <t>Student 033</t>
  </si>
  <si>
    <t>T020</t>
  </si>
  <si>
    <t>T021</t>
  </si>
  <si>
    <t>Student 065</t>
  </si>
  <si>
    <t>T022</t>
  </si>
  <si>
    <t>T023</t>
  </si>
  <si>
    <t>Student 068</t>
  </si>
  <si>
    <t>T024</t>
  </si>
  <si>
    <t>Student 031</t>
  </si>
  <si>
    <t>T025</t>
  </si>
  <si>
    <t>Student 063</t>
  </si>
  <si>
    <t>T026</t>
  </si>
  <si>
    <t>Student 022</t>
  </si>
  <si>
    <t>T027</t>
  </si>
  <si>
    <t>T028</t>
  </si>
  <si>
    <t>Student 057</t>
  </si>
  <si>
    <t>T029</t>
  </si>
  <si>
    <t>Student 076</t>
  </si>
  <si>
    <t>T030</t>
  </si>
  <si>
    <t>T031</t>
  </si>
  <si>
    <t>T032</t>
  </si>
  <si>
    <t>Student 074</t>
  </si>
  <si>
    <t>T033</t>
  </si>
  <si>
    <t>Student 013</t>
  </si>
  <si>
    <t>T034</t>
  </si>
  <si>
    <t>T035</t>
  </si>
  <si>
    <t>Student 032</t>
  </si>
  <si>
    <t>T036</t>
  </si>
  <si>
    <t>Student 060</t>
  </si>
  <si>
    <t>T037</t>
  </si>
  <si>
    <t>T038</t>
  </si>
  <si>
    <t>T039</t>
  </si>
  <si>
    <t>T040</t>
  </si>
  <si>
    <t>Student 055</t>
  </si>
  <si>
    <t>T041</t>
  </si>
  <si>
    <t>T042</t>
  </si>
  <si>
    <t>Student 070</t>
  </si>
  <si>
    <t>T043</t>
  </si>
  <si>
    <t>T044</t>
  </si>
  <si>
    <t>T045</t>
  </si>
  <si>
    <t>T046</t>
  </si>
  <si>
    <t>Student 067</t>
  </si>
  <si>
    <t>T047</t>
  </si>
  <si>
    <t>T048</t>
  </si>
  <si>
    <t>Student 002</t>
  </si>
  <si>
    <t>T049</t>
  </si>
  <si>
    <t>Student 069</t>
  </si>
  <si>
    <t>T050</t>
  </si>
  <si>
    <t>T051</t>
  </si>
  <si>
    <t>Student 039</t>
  </si>
  <si>
    <t>T052</t>
  </si>
  <si>
    <t>T053</t>
  </si>
  <si>
    <t>T054</t>
  </si>
  <si>
    <t>T055</t>
  </si>
  <si>
    <t>Student 012</t>
  </si>
  <si>
    <t>T056</t>
  </si>
  <si>
    <t>T057</t>
  </si>
  <si>
    <t>T058</t>
  </si>
  <si>
    <t>T059</t>
  </si>
  <si>
    <t>Student 040</t>
  </si>
  <si>
    <t>T060</t>
  </si>
  <si>
    <t>Student 046</t>
  </si>
  <si>
    <t>T061</t>
  </si>
  <si>
    <t>T062</t>
  </si>
  <si>
    <t>Student 053</t>
  </si>
  <si>
    <t>T063</t>
  </si>
  <si>
    <t>Student 049</t>
  </si>
  <si>
    <t>T064</t>
  </si>
  <si>
    <t>Student 045</t>
  </si>
  <si>
    <t>T065</t>
  </si>
  <si>
    <t>Student 043</t>
  </si>
  <si>
    <t>T066</t>
  </si>
  <si>
    <t>Student 052</t>
  </si>
  <si>
    <t>T067</t>
  </si>
  <si>
    <t>T068</t>
  </si>
  <si>
    <t>Student 056</t>
  </si>
  <si>
    <t>T069</t>
  </si>
  <si>
    <t>T070</t>
  </si>
  <si>
    <t>Student 047</t>
  </si>
  <si>
    <t>T071</t>
  </si>
  <si>
    <t>Student 041</t>
  </si>
  <si>
    <t>T072</t>
  </si>
  <si>
    <t>Student 042</t>
  </si>
  <si>
    <t>T073</t>
  </si>
  <si>
    <t>Student 023</t>
  </si>
  <si>
    <t>T074</t>
  </si>
  <si>
    <t>Student 037</t>
  </si>
  <si>
    <t>T075</t>
  </si>
  <si>
    <t>T076</t>
  </si>
  <si>
    <t>Student 011</t>
  </si>
  <si>
    <t>T077</t>
  </si>
  <si>
    <t>T078</t>
  </si>
  <si>
    <t>T079</t>
  </si>
  <si>
    <t>T080</t>
  </si>
  <si>
    <t>T081</t>
  </si>
  <si>
    <t>T082</t>
  </si>
  <si>
    <t>Student 018</t>
  </si>
  <si>
    <t>T083</t>
  </si>
  <si>
    <t>T084</t>
  </si>
  <si>
    <t>T085</t>
  </si>
  <si>
    <t>T086</t>
  </si>
  <si>
    <t>T087</t>
  </si>
  <si>
    <t>T088</t>
  </si>
  <si>
    <t>T089</t>
  </si>
  <si>
    <t>T090</t>
  </si>
  <si>
    <t>Student 062</t>
  </si>
  <si>
    <t>T091</t>
  </si>
  <si>
    <t>T092</t>
  </si>
  <si>
    <t>Student 050</t>
  </si>
  <si>
    <t>T093</t>
  </si>
  <si>
    <t>Student 017</t>
  </si>
  <si>
    <t>T094</t>
  </si>
  <si>
    <t>T095</t>
  </si>
  <si>
    <t>T096</t>
  </si>
  <si>
    <t>Student 054</t>
  </si>
  <si>
    <t>Agent D</t>
  </si>
  <si>
    <t>T097</t>
  </si>
  <si>
    <t>T098</t>
  </si>
  <si>
    <t>T099</t>
  </si>
  <si>
    <t>T100</t>
  </si>
  <si>
    <t>T101</t>
  </si>
  <si>
    <t>Student 015</t>
  </si>
  <si>
    <t>T102</t>
  </si>
  <si>
    <t>T103</t>
  </si>
  <si>
    <t>T104</t>
  </si>
  <si>
    <t>Student 016</t>
  </si>
  <si>
    <t>T105</t>
  </si>
  <si>
    <t>T106</t>
  </si>
  <si>
    <t>T107</t>
  </si>
  <si>
    <t>T108</t>
  </si>
  <si>
    <t>T109</t>
  </si>
  <si>
    <t>T110</t>
  </si>
  <si>
    <t>Student 079</t>
  </si>
  <si>
    <t>T111</t>
  </si>
  <si>
    <t>T112</t>
  </si>
  <si>
    <t>Student 072</t>
  </si>
  <si>
    <t>T113</t>
  </si>
  <si>
    <t>T114</t>
  </si>
  <si>
    <t>Student 058</t>
  </si>
  <si>
    <t>T115</t>
  </si>
  <si>
    <t>T116</t>
  </si>
  <si>
    <t>T117</t>
  </si>
  <si>
    <t>T118</t>
  </si>
  <si>
    <t>Student 024</t>
  </si>
  <si>
    <t>T119</t>
  </si>
  <si>
    <t>T120</t>
  </si>
  <si>
    <t>T121</t>
  </si>
  <si>
    <t>Student 038</t>
  </si>
  <si>
    <t>T122</t>
  </si>
  <si>
    <t>T123</t>
  </si>
  <si>
    <t>T124</t>
  </si>
  <si>
    <t>Student 007</t>
  </si>
  <si>
    <t>T125</t>
  </si>
  <si>
    <t>T126</t>
  </si>
  <si>
    <t>Student 029</t>
  </si>
  <si>
    <t>T127</t>
  </si>
  <si>
    <t>T128</t>
  </si>
  <si>
    <t>Student 027</t>
  </si>
  <si>
    <t>T129</t>
  </si>
  <si>
    <t>T130</t>
  </si>
  <si>
    <t>T131</t>
  </si>
  <si>
    <t>T132</t>
  </si>
  <si>
    <t>T133</t>
  </si>
  <si>
    <t>Student 010</t>
  </si>
  <si>
    <t>T134</t>
  </si>
  <si>
    <t>T135</t>
  </si>
  <si>
    <t>T136</t>
  </si>
  <si>
    <t>T137</t>
  </si>
  <si>
    <t>T138</t>
  </si>
  <si>
    <t>Student 061</t>
  </si>
  <si>
    <t>T139</t>
  </si>
  <si>
    <t>T140</t>
  </si>
  <si>
    <t>T141</t>
  </si>
  <si>
    <t>Student 005</t>
  </si>
  <si>
    <t>T142</t>
  </si>
  <si>
    <t>Student 001</t>
  </si>
  <si>
    <t>T143</t>
  </si>
  <si>
    <t>Student 080</t>
  </si>
  <si>
    <t>T144</t>
  </si>
  <si>
    <t>T145</t>
  </si>
  <si>
    <t>T146</t>
  </si>
  <si>
    <t>T147</t>
  </si>
  <si>
    <t>T148</t>
  </si>
  <si>
    <t>T149</t>
  </si>
  <si>
    <t>T150</t>
  </si>
  <si>
    <t>Row Labels</t>
  </si>
  <si>
    <t>Grand Total</t>
  </si>
  <si>
    <t>Count of Ticket ID</t>
  </si>
  <si>
    <t>Sum of Resolution Time (hrs)</t>
  </si>
  <si>
    <t>Average of Satisfaction</t>
  </si>
  <si>
    <t>Average of Resolution Time (hrs)</t>
  </si>
  <si>
    <t>Count of Student</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</si>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</sst>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dd\-mmm\-yyyy"/>
  </numFmts>
  <fonts count="3" x14ac:knownFonts="1">
    <font>
      <sz val="10"/>
      <color rgb="FF000000"/>
      <name val="Arial"/>
      <scheme val="minor"/>
    </font>
    <font>
      <b/>
      <sz val="11"/>
      <color theme="1"/>
      <name val="Calibri"/>
    </font>
    <font>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2" fillId="0" borderId="0" xfId="0" applyFont="1"/>
    <xf numFmtId="164" fontId="2" fillId="0" borderId="0" xfId="0" applyNumberFormat="1" applyFont="1"/>
    <xf numFmtId="0" fontId="2" fillId="0" borderId="0" xfId="0" applyFont="1" applyAlignment="1">
      <alignment horizontal="right"/>
    </xf>
    <xf numFmtId="165" fontId="2"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1">
    <dxf>
      <font>
        <b val="0"/>
        <i val="0"/>
        <strike val="0"/>
        <condense val="0"/>
        <extend val="0"/>
        <outline val="0"/>
        <shadow val="0"/>
        <u val="none"/>
        <vertAlign val="baseline"/>
        <sz val="11"/>
        <color rgb="FF000000"/>
        <name val="Calibri"/>
        <scheme val="none"/>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Support Analytics Dashboard .xlsx]Pivot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Agent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Table'!$A$3</c:f>
              <c:strCache>
                <c:ptCount val="1"/>
                <c:pt idx="0">
                  <c:v>Count of Ticket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Table'!$A$4</c:f>
              <c:numCache>
                <c:formatCode>General</c:formatCode>
                <c:ptCount val="1"/>
                <c:pt idx="0">
                  <c:v>23</c:v>
                </c:pt>
              </c:numCache>
            </c:numRef>
          </c:val>
          <c:extLst>
            <c:ext xmlns:c16="http://schemas.microsoft.com/office/drawing/2014/chart" uri="{C3380CC4-5D6E-409C-BE32-E72D297353CC}">
              <c16:uniqueId val="{00000000-5EA5-4C00-AF4A-1AB1FCC3DEE7}"/>
            </c:ext>
          </c:extLst>
        </c:ser>
        <c:ser>
          <c:idx val="1"/>
          <c:order val="1"/>
          <c:tx>
            <c:strRef>
              <c:f>'Pivot Table'!$B$3</c:f>
              <c:strCache>
                <c:ptCount val="1"/>
                <c:pt idx="0">
                  <c:v>Average of Resolution Time (hrs)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Table'!$B$4</c:f>
              <c:numCache>
                <c:formatCode>General</c:formatCode>
                <c:ptCount val="1"/>
                <c:pt idx="0">
                  <c:v>13.043478260869565</c:v>
                </c:pt>
              </c:numCache>
            </c:numRef>
          </c:val>
          <c:extLst>
            <c:ext xmlns:c16="http://schemas.microsoft.com/office/drawing/2014/chart" uri="{C3380CC4-5D6E-409C-BE32-E72D297353CC}">
              <c16:uniqueId val="{00000001-5EA5-4C00-AF4A-1AB1FCC3DEE7}"/>
            </c:ext>
          </c:extLst>
        </c:ser>
        <c:ser>
          <c:idx val="2"/>
          <c:order val="2"/>
          <c:tx>
            <c:strRef>
              <c:f>'Pivot Table'!$C$3</c:f>
              <c:strCache>
                <c:ptCount val="1"/>
                <c:pt idx="0">
                  <c:v>Average of Satisfaction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Table'!$C$4</c:f>
              <c:numCache>
                <c:formatCode>General</c:formatCode>
                <c:ptCount val="1"/>
                <c:pt idx="0">
                  <c:v>3.8333333333333335</c:v>
                </c:pt>
              </c:numCache>
            </c:numRef>
          </c:val>
          <c:extLst>
            <c:ext xmlns:c16="http://schemas.microsoft.com/office/drawing/2014/chart" uri="{C3380CC4-5D6E-409C-BE32-E72D297353CC}">
              <c16:uniqueId val="{00000002-5EA5-4C00-AF4A-1AB1FCC3DEE7}"/>
            </c:ext>
          </c:extLst>
        </c:ser>
        <c:dLbls>
          <c:dLblPos val="outEnd"/>
          <c:showLegendKey val="0"/>
          <c:showVal val="1"/>
          <c:showCatName val="0"/>
          <c:showSerName val="0"/>
          <c:showPercent val="0"/>
          <c:showBubbleSize val="0"/>
        </c:dLbls>
        <c:gapWidth val="182"/>
        <c:axId val="1115193775"/>
        <c:axId val="1031868623"/>
      </c:barChart>
      <c:catAx>
        <c:axId val="111519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868623"/>
        <c:crosses val="autoZero"/>
        <c:auto val="1"/>
        <c:lblAlgn val="ctr"/>
        <c:lblOffset val="100"/>
        <c:noMultiLvlLbl val="0"/>
      </c:catAx>
      <c:valAx>
        <c:axId val="1031868623"/>
        <c:scaling>
          <c:orientation val="minMax"/>
        </c:scaling>
        <c:delete val="1"/>
        <c:axPos val="b"/>
        <c:numFmt formatCode="General" sourceLinked="1"/>
        <c:majorTickMark val="none"/>
        <c:minorTickMark val="none"/>
        <c:tickLblPos val="nextTo"/>
        <c:crossAx val="1115193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Support Analytics Dashboard .xlsx]Pivot Table!PivotTable2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Ticket Status Distrubation</a:t>
            </a:r>
          </a:p>
        </c:rich>
      </c:tx>
      <c:layout>
        <c:manualLayout>
          <c:xMode val="edge"/>
          <c:yMode val="edge"/>
          <c:x val="0.33736072770981246"/>
          <c:y val="3.597121911485202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978247546642877"/>
          <c:y val="0.13211678832116788"/>
          <c:w val="0.42522167487684731"/>
          <c:h val="0.78759124087591237"/>
        </c:manualLayout>
      </c:layout>
      <c:doughnutChart>
        <c:varyColors val="1"/>
        <c:ser>
          <c:idx val="0"/>
          <c:order val="0"/>
          <c:tx>
            <c:strRef>
              <c:f>'Pivot Table'!$B$8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Table'!$A$9:$A$13</c:f>
              <c:strCache>
                <c:ptCount val="4"/>
                <c:pt idx="0">
                  <c:v>Escalated</c:v>
                </c:pt>
                <c:pt idx="1">
                  <c:v>In Progress</c:v>
                </c:pt>
                <c:pt idx="2">
                  <c:v>Pending</c:v>
                </c:pt>
                <c:pt idx="3">
                  <c:v>Resolved</c:v>
                </c:pt>
              </c:strCache>
            </c:strRef>
          </c:cat>
          <c:val>
            <c:numRef>
              <c:f>'Pivot Table'!$B$9:$B$13</c:f>
              <c:numCache>
                <c:formatCode>General</c:formatCode>
                <c:ptCount val="4"/>
                <c:pt idx="0">
                  <c:v>6</c:v>
                </c:pt>
                <c:pt idx="1">
                  <c:v>2</c:v>
                </c:pt>
                <c:pt idx="2">
                  <c:v>6</c:v>
                </c:pt>
                <c:pt idx="3">
                  <c:v>18</c:v>
                </c:pt>
              </c:numCache>
            </c:numRef>
          </c:val>
          <c:extLst>
            <c:ext xmlns:c16="http://schemas.microsoft.com/office/drawing/2014/chart" uri="{C3380CC4-5D6E-409C-BE32-E72D297353CC}">
              <c16:uniqueId val="{00000000-A060-41F3-A611-12D66B726F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Support Analytics Dashboard .xlsx]Pivot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 by Category and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82631660800995E-2"/>
          <c:y val="0.13699148647028259"/>
          <c:w val="0.91598600174978129"/>
          <c:h val="0.37465660542432194"/>
        </c:manualLayout>
      </c:layout>
      <c:lineChart>
        <c:grouping val="standard"/>
        <c:varyColors val="0"/>
        <c:ser>
          <c:idx val="0"/>
          <c:order val="0"/>
          <c:tx>
            <c:strRef>
              <c:f>'Pivot Table'!$B$15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Table'!$A$16:$A$37</c:f>
              <c:multiLvlStrCache>
                <c:ptCount val="15"/>
                <c:lvl>
                  <c:pt idx="0">
                    <c:v>Low</c:v>
                  </c:pt>
                  <c:pt idx="1">
                    <c:v>Medium</c:v>
                  </c:pt>
                  <c:pt idx="2">
                    <c:v>High</c:v>
                  </c:pt>
                  <c:pt idx="3">
                    <c:v>Low</c:v>
                  </c:pt>
                  <c:pt idx="4">
                    <c:v>Medium</c:v>
                  </c:pt>
                  <c:pt idx="5">
                    <c:v>Low</c:v>
                  </c:pt>
                  <c:pt idx="6">
                    <c:v>Medium</c:v>
                  </c:pt>
                  <c:pt idx="7">
                    <c:v>High</c:v>
                  </c:pt>
                  <c:pt idx="8">
                    <c:v>Low</c:v>
                  </c:pt>
                  <c:pt idx="9">
                    <c:v>Medium</c:v>
                  </c:pt>
                  <c:pt idx="10">
                    <c:v>Low</c:v>
                  </c:pt>
                  <c:pt idx="11">
                    <c:v>Medium</c:v>
                  </c:pt>
                  <c:pt idx="12">
                    <c:v>High</c:v>
                  </c:pt>
                  <c:pt idx="13">
                    <c:v>Low</c:v>
                  </c:pt>
                  <c:pt idx="14">
                    <c:v>Medium</c:v>
                  </c:pt>
                </c:lvl>
                <c:lvl>
                  <c:pt idx="0">
                    <c:v>Admission</c:v>
                  </c:pt>
                  <c:pt idx="2">
                    <c:v>Certificate</c:v>
                  </c:pt>
                  <c:pt idx="5">
                    <c:v>Course</c:v>
                  </c:pt>
                  <c:pt idx="7">
                    <c:v>Exam</c:v>
                  </c:pt>
                  <c:pt idx="10">
                    <c:v>Payment</c:v>
                  </c:pt>
                  <c:pt idx="12">
                    <c:v>Technical</c:v>
                  </c:pt>
                </c:lvl>
              </c:multiLvlStrCache>
            </c:multiLvlStrRef>
          </c:cat>
          <c:val>
            <c:numRef>
              <c:f>'Pivot Table'!$B$16:$B$37</c:f>
              <c:numCache>
                <c:formatCode>General</c:formatCode>
                <c:ptCount val="15"/>
                <c:pt idx="0">
                  <c:v>2</c:v>
                </c:pt>
                <c:pt idx="1">
                  <c:v>4</c:v>
                </c:pt>
                <c:pt idx="2">
                  <c:v>1</c:v>
                </c:pt>
                <c:pt idx="3">
                  <c:v>2</c:v>
                </c:pt>
                <c:pt idx="4">
                  <c:v>1</c:v>
                </c:pt>
                <c:pt idx="5">
                  <c:v>1</c:v>
                </c:pt>
                <c:pt idx="6">
                  <c:v>3</c:v>
                </c:pt>
                <c:pt idx="7">
                  <c:v>3</c:v>
                </c:pt>
                <c:pt idx="8">
                  <c:v>1</c:v>
                </c:pt>
                <c:pt idx="9">
                  <c:v>2</c:v>
                </c:pt>
                <c:pt idx="10">
                  <c:v>2</c:v>
                </c:pt>
                <c:pt idx="11">
                  <c:v>6</c:v>
                </c:pt>
                <c:pt idx="12">
                  <c:v>1</c:v>
                </c:pt>
                <c:pt idx="13">
                  <c:v>2</c:v>
                </c:pt>
                <c:pt idx="14">
                  <c:v>1</c:v>
                </c:pt>
              </c:numCache>
            </c:numRef>
          </c:val>
          <c:smooth val="0"/>
          <c:extLst>
            <c:ext xmlns:c16="http://schemas.microsoft.com/office/drawing/2014/chart" uri="{C3380CC4-5D6E-409C-BE32-E72D297353CC}">
              <c16:uniqueId val="{00000000-52CD-4D8B-859F-81569475A9EA}"/>
            </c:ext>
          </c:extLst>
        </c:ser>
        <c:dLbls>
          <c:showLegendKey val="0"/>
          <c:showVal val="0"/>
          <c:showCatName val="0"/>
          <c:showSerName val="0"/>
          <c:showPercent val="0"/>
          <c:showBubbleSize val="0"/>
        </c:dLbls>
        <c:marker val="1"/>
        <c:smooth val="0"/>
        <c:axId val="1547478927"/>
        <c:axId val="1736599663"/>
      </c:lineChart>
      <c:catAx>
        <c:axId val="154747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599663"/>
        <c:crosses val="autoZero"/>
        <c:auto val="1"/>
        <c:lblAlgn val="ctr"/>
        <c:lblOffset val="100"/>
        <c:noMultiLvlLbl val="0"/>
      </c:catAx>
      <c:valAx>
        <c:axId val="173659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7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Support Analytics Dashboard .xlsx]Pivot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a:t>
            </a:r>
            <a:r>
              <a:rPr lang="en-US" baseline="0"/>
              <a:t> Resolution Time &amp;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Table'!$E$9</c:f>
              <c:strCache>
                <c:ptCount val="1"/>
                <c:pt idx="0">
                  <c:v>Average of Satisfaction</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Table'!$D$10:$D$16</c:f>
              <c:strCache>
                <c:ptCount val="6"/>
                <c:pt idx="0">
                  <c:v>Admission</c:v>
                </c:pt>
                <c:pt idx="1">
                  <c:v>Certificate</c:v>
                </c:pt>
                <c:pt idx="2">
                  <c:v>Course</c:v>
                </c:pt>
                <c:pt idx="3">
                  <c:v>Exam</c:v>
                </c:pt>
                <c:pt idx="4">
                  <c:v>Payment</c:v>
                </c:pt>
                <c:pt idx="5">
                  <c:v>Technical</c:v>
                </c:pt>
              </c:strCache>
            </c:strRef>
          </c:cat>
          <c:val>
            <c:numRef>
              <c:f>'Pivot Table'!$E$10:$E$16</c:f>
              <c:numCache>
                <c:formatCode>General</c:formatCode>
                <c:ptCount val="6"/>
                <c:pt idx="0">
                  <c:v>2.75</c:v>
                </c:pt>
                <c:pt idx="1">
                  <c:v>3.5</c:v>
                </c:pt>
                <c:pt idx="2">
                  <c:v>3.6666666666666665</c:v>
                </c:pt>
                <c:pt idx="3">
                  <c:v>3</c:v>
                </c:pt>
                <c:pt idx="4">
                  <c:v>3.3333333333333335</c:v>
                </c:pt>
                <c:pt idx="5">
                  <c:v>3.5</c:v>
                </c:pt>
              </c:numCache>
            </c:numRef>
          </c:val>
          <c:extLst>
            <c:ext xmlns:c16="http://schemas.microsoft.com/office/drawing/2014/chart" uri="{C3380CC4-5D6E-409C-BE32-E72D297353CC}">
              <c16:uniqueId val="{00000002-EDF3-45C2-AC6C-237BC76DBA20}"/>
            </c:ext>
          </c:extLst>
        </c:ser>
        <c:ser>
          <c:idx val="1"/>
          <c:order val="1"/>
          <c:tx>
            <c:strRef>
              <c:f>'Pivot Table'!$F$9</c:f>
              <c:strCache>
                <c:ptCount val="1"/>
                <c:pt idx="0">
                  <c:v>Sum of Resolution Time (hrs)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Table'!$D$10:$D$16</c:f>
              <c:strCache>
                <c:ptCount val="6"/>
                <c:pt idx="0">
                  <c:v>Admission</c:v>
                </c:pt>
                <c:pt idx="1">
                  <c:v>Certificate</c:v>
                </c:pt>
                <c:pt idx="2">
                  <c:v>Course</c:v>
                </c:pt>
                <c:pt idx="3">
                  <c:v>Exam</c:v>
                </c:pt>
                <c:pt idx="4">
                  <c:v>Payment</c:v>
                </c:pt>
                <c:pt idx="5">
                  <c:v>Technical</c:v>
                </c:pt>
              </c:strCache>
            </c:strRef>
          </c:cat>
          <c:val>
            <c:numRef>
              <c:f>'Pivot Table'!$F$10:$F$16</c:f>
              <c:numCache>
                <c:formatCode>General</c:formatCode>
                <c:ptCount val="6"/>
                <c:pt idx="0">
                  <c:v>60</c:v>
                </c:pt>
                <c:pt idx="1">
                  <c:v>65</c:v>
                </c:pt>
                <c:pt idx="2">
                  <c:v>59</c:v>
                </c:pt>
                <c:pt idx="3">
                  <c:v>68</c:v>
                </c:pt>
                <c:pt idx="4">
                  <c:v>94</c:v>
                </c:pt>
                <c:pt idx="5">
                  <c:v>51</c:v>
                </c:pt>
              </c:numCache>
            </c:numRef>
          </c:val>
          <c:extLst>
            <c:ext xmlns:c16="http://schemas.microsoft.com/office/drawing/2014/chart" uri="{C3380CC4-5D6E-409C-BE32-E72D297353CC}">
              <c16:uniqueId val="{00000003-EDF3-45C2-AC6C-237BC76DBA20}"/>
            </c:ext>
          </c:extLst>
        </c:ser>
        <c:dLbls>
          <c:showLegendKey val="0"/>
          <c:showVal val="1"/>
          <c:showCatName val="0"/>
          <c:showSerName val="0"/>
          <c:showPercent val="0"/>
          <c:showBubbleSize val="0"/>
        </c:dLbls>
        <c:gapWidth val="150"/>
        <c:shape val="box"/>
        <c:axId val="1773979295"/>
        <c:axId val="1736645743"/>
        <c:axId val="0"/>
      </c:bar3DChart>
      <c:catAx>
        <c:axId val="177397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45743"/>
        <c:crosses val="autoZero"/>
        <c:auto val="1"/>
        <c:lblAlgn val="ctr"/>
        <c:lblOffset val="100"/>
        <c:noMultiLvlLbl val="0"/>
      </c:catAx>
      <c:valAx>
        <c:axId val="173664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979295"/>
        <c:crosses val="autoZero"/>
        <c:crossBetween val="between"/>
      </c:valAx>
      <c:spPr>
        <a:noFill/>
        <a:ln>
          <a:noFill/>
        </a:ln>
        <a:effectLst/>
      </c:spPr>
    </c:plotArea>
    <c:legend>
      <c:legendPos val="r"/>
      <c:layout>
        <c:manualLayout>
          <c:xMode val="edge"/>
          <c:yMode val="edge"/>
          <c:x val="0.67401175679486347"/>
          <c:y val="0.78375879485652522"/>
          <c:w val="0.29947988644276602"/>
          <c:h val="0.200622988164215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xdr:colOff>
      <xdr:row>2</xdr:row>
      <xdr:rowOff>38100</xdr:rowOff>
    </xdr:from>
    <xdr:to>
      <xdr:col>6</xdr:col>
      <xdr:colOff>76200</xdr:colOff>
      <xdr:row>4</xdr:row>
      <xdr:rowOff>133350</xdr:rowOff>
    </xdr:to>
    <xdr:sp macro="" textlink="$C$1">
      <xdr:nvSpPr>
        <xdr:cNvPr id="2" name="TextBox 1">
          <a:extLst>
            <a:ext uri="{FF2B5EF4-FFF2-40B4-BE49-F238E27FC236}">
              <a16:creationId xmlns:a16="http://schemas.microsoft.com/office/drawing/2014/main" id="{5B53DE55-D44C-F033-E50D-6A01F4668AAE}"/>
            </a:ext>
          </a:extLst>
        </xdr:cNvPr>
        <xdr:cNvSpPr txBox="1"/>
      </xdr:nvSpPr>
      <xdr:spPr>
        <a:xfrm>
          <a:off x="4870450" y="355600"/>
          <a:ext cx="29845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4CA787-8E84-4DA1-8472-319F7F98B947}" type="TxLink">
            <a:rPr lang="en-US" sz="1600" b="1" i="0" u="dbl" strike="noStrike">
              <a:solidFill>
                <a:schemeClr val="accent5"/>
              </a:solidFill>
              <a:latin typeface="Arial"/>
              <a:cs typeface="Arial"/>
            </a:rPr>
            <a:t>Performance of : Agent D</a:t>
          </a:fld>
          <a:endParaRPr lang="en-US" sz="1600" b="1" u="dbl">
            <a:solidFill>
              <a:schemeClr val="accent5"/>
            </a:solidFill>
          </a:endParaRPr>
        </a:p>
      </xdr:txBody>
    </xdr:sp>
    <xdr:clientData/>
  </xdr:twoCellAnchor>
  <xdr:twoCellAnchor editAs="oneCell">
    <xdr:from>
      <xdr:col>7</xdr:col>
      <xdr:colOff>266700</xdr:colOff>
      <xdr:row>1</xdr:row>
      <xdr:rowOff>63500</xdr:rowOff>
    </xdr:from>
    <xdr:to>
      <xdr:col>10</xdr:col>
      <xdr:colOff>266700</xdr:colOff>
      <xdr:row>7</xdr:row>
      <xdr:rowOff>152400</xdr:rowOff>
    </xdr:to>
    <mc:AlternateContent xmlns:mc="http://schemas.openxmlformats.org/markup-compatibility/2006">
      <mc:Choice xmlns:a14="http://schemas.microsoft.com/office/drawing/2010/main" Requires="a14">
        <xdr:graphicFrame macro="">
          <xdr:nvGraphicFramePr>
            <xdr:cNvPr id="3" name="Support Agent">
              <a:extLst>
                <a:ext uri="{FF2B5EF4-FFF2-40B4-BE49-F238E27FC236}">
                  <a16:creationId xmlns:a16="http://schemas.microsoft.com/office/drawing/2014/main" id="{F9F5859D-4F81-CCCB-DFC8-A7880051EB4C}"/>
                </a:ext>
              </a:extLst>
            </xdr:cNvPr>
            <xdr:cNvGraphicFramePr/>
          </xdr:nvGraphicFramePr>
          <xdr:xfrm>
            <a:off x="0" y="0"/>
            <a:ext cx="0" cy="0"/>
          </xdr:xfrm>
          <a:graphic>
            <a:graphicData uri="http://schemas.microsoft.com/office/drawing/2010/slicer">
              <sle:slicer xmlns:sle="http://schemas.microsoft.com/office/drawing/2010/slicer" name="Support Agent"/>
            </a:graphicData>
          </a:graphic>
        </xdr:graphicFrame>
      </mc:Choice>
      <mc:Fallback>
        <xdr:sp macro="" textlink="">
          <xdr:nvSpPr>
            <xdr:cNvPr id="0" name=""/>
            <xdr:cNvSpPr>
              <a:spLocks noTextEdit="1"/>
            </xdr:cNvSpPr>
          </xdr:nvSpPr>
          <xdr:spPr>
            <a:xfrm>
              <a:off x="9823450" y="222250"/>
              <a:ext cx="18288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203200</xdr:colOff>
      <xdr:row>10</xdr:row>
      <xdr:rowOff>127000</xdr:rowOff>
    </xdr:from>
    <xdr:to>
      <xdr:col>11</xdr:col>
      <xdr:colOff>488950</xdr:colOff>
      <xdr:row>19</xdr:row>
      <xdr:rowOff>69850</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20E9B448-2530-010A-8B45-B45CEEF8FC27}"/>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150350" y="17145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266700</xdr:colOff>
      <xdr:row>0</xdr:row>
      <xdr:rowOff>25400</xdr:rowOff>
    </xdr:from>
    <xdr:to>
      <xdr:col>14</xdr:col>
      <xdr:colOff>546100</xdr:colOff>
      <xdr:row>3</xdr:row>
      <xdr:rowOff>146050</xdr:rowOff>
    </xdr:to>
    <xdr:sp macro="" textlink="">
      <xdr:nvSpPr>
        <xdr:cNvPr id="8" name="TextBox 7">
          <a:extLst>
            <a:ext uri="{FF2B5EF4-FFF2-40B4-BE49-F238E27FC236}">
              <a16:creationId xmlns:a16="http://schemas.microsoft.com/office/drawing/2014/main" id="{AD759919-3818-F390-83EE-F84035439D4C}"/>
            </a:ext>
          </a:extLst>
        </xdr:cNvPr>
        <xdr:cNvSpPr txBox="1"/>
      </xdr:nvSpPr>
      <xdr:spPr>
        <a:xfrm>
          <a:off x="6362700" y="25400"/>
          <a:ext cx="2717800" cy="596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7030A0"/>
              </a:solidFill>
            </a:rPr>
            <a:t>Student Support Analytics     </a:t>
          </a:r>
        </a:p>
        <a:p>
          <a:r>
            <a:rPr lang="en-US" sz="1400" b="1"/>
            <a:t>               </a:t>
          </a:r>
          <a:r>
            <a:rPr lang="en-US" sz="1400" b="1">
              <a:solidFill>
                <a:schemeClr val="accent6">
                  <a:lumMod val="75000"/>
                </a:schemeClr>
              </a:solidFill>
              <a:effectLst/>
              <a:latin typeface="+mn-lt"/>
              <a:ea typeface="+mn-ea"/>
              <a:cs typeface="+mn-cs"/>
            </a:rPr>
            <a:t>Dashboard</a:t>
          </a:r>
          <a:endParaRPr lang="en-US" sz="1400" b="1">
            <a:solidFill>
              <a:schemeClr val="accent6">
                <a:lumMod val="75000"/>
              </a:schemeClr>
            </a:solidFill>
          </a:endParaRPr>
        </a:p>
      </xdr:txBody>
    </xdr:sp>
    <xdr:clientData/>
  </xdr:twoCellAnchor>
  <xdr:twoCellAnchor editAs="oneCell">
    <xdr:from>
      <xdr:col>16</xdr:col>
      <xdr:colOff>311150</xdr:colOff>
      <xdr:row>1</xdr:row>
      <xdr:rowOff>95250</xdr:rowOff>
    </xdr:from>
    <xdr:to>
      <xdr:col>19</xdr:col>
      <xdr:colOff>311150</xdr:colOff>
      <xdr:row>8</xdr:row>
      <xdr:rowOff>25400</xdr:rowOff>
    </xdr:to>
    <mc:AlternateContent xmlns:mc="http://schemas.openxmlformats.org/markup-compatibility/2006">
      <mc:Choice xmlns:a14="http://schemas.microsoft.com/office/drawing/2010/main" Requires="a14">
        <xdr:graphicFrame macro="">
          <xdr:nvGraphicFramePr>
            <xdr:cNvPr id="2" name="Support Agent 2">
              <a:extLst>
                <a:ext uri="{FF2B5EF4-FFF2-40B4-BE49-F238E27FC236}">
                  <a16:creationId xmlns:a16="http://schemas.microsoft.com/office/drawing/2014/main" id="{2E09A9E4-3E8B-4C33-914F-4A7C80F85385}"/>
                </a:ext>
              </a:extLst>
            </xdr:cNvPr>
            <xdr:cNvGraphicFramePr/>
          </xdr:nvGraphicFramePr>
          <xdr:xfrm>
            <a:off x="0" y="0"/>
            <a:ext cx="0" cy="0"/>
          </xdr:xfrm>
          <a:graphic>
            <a:graphicData uri="http://schemas.microsoft.com/office/drawing/2010/slicer">
              <sle:slicer xmlns:sle="http://schemas.microsoft.com/office/drawing/2010/slicer" name="Support Agent 2"/>
            </a:graphicData>
          </a:graphic>
        </xdr:graphicFrame>
      </mc:Choice>
      <mc:Fallback>
        <xdr:sp macro="" textlink="">
          <xdr:nvSpPr>
            <xdr:cNvPr id="0" name=""/>
            <xdr:cNvSpPr>
              <a:spLocks noTextEdit="1"/>
            </xdr:cNvSpPr>
          </xdr:nvSpPr>
          <xdr:spPr>
            <a:xfrm>
              <a:off x="10064750" y="254000"/>
              <a:ext cx="1828800" cy="104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565150</xdr:colOff>
      <xdr:row>19</xdr:row>
      <xdr:rowOff>76200</xdr:rowOff>
    </xdr:from>
    <xdr:to>
      <xdr:col>19</xdr:col>
      <xdr:colOff>361950</xdr:colOff>
      <xdr:row>26</xdr:row>
      <xdr:rowOff>88900</xdr:rowOff>
    </xdr:to>
    <mc:AlternateContent xmlns:mc="http://schemas.openxmlformats.org/markup-compatibility/2006">
      <mc:Choice xmlns:tsle="http://schemas.microsoft.com/office/drawing/2012/timeslicer" Requires="tsle">
        <xdr:graphicFrame macro="">
          <xdr:nvGraphicFramePr>
            <xdr:cNvPr id="3" name="Date 1">
              <a:extLst>
                <a:ext uri="{FF2B5EF4-FFF2-40B4-BE49-F238E27FC236}">
                  <a16:creationId xmlns:a16="http://schemas.microsoft.com/office/drawing/2014/main" id="{B4793E45-71D6-44D8-B9C9-A11C3688A4E2}"/>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8489950" y="3092450"/>
              <a:ext cx="3454400" cy="1123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0</xdr:row>
      <xdr:rowOff>57150</xdr:rowOff>
    </xdr:from>
    <xdr:to>
      <xdr:col>5</xdr:col>
      <xdr:colOff>92075</xdr:colOff>
      <xdr:row>11</xdr:row>
      <xdr:rowOff>120650</xdr:rowOff>
    </xdr:to>
    <xdr:graphicFrame macro="">
      <xdr:nvGraphicFramePr>
        <xdr:cNvPr id="4" name="Chart 3">
          <a:extLst>
            <a:ext uri="{FF2B5EF4-FFF2-40B4-BE49-F238E27FC236}">
              <a16:creationId xmlns:a16="http://schemas.microsoft.com/office/drawing/2014/main" id="{0CC19012-6E40-B7A9-BA38-15470B4C5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136525</xdr:colOff>
      <xdr:row>0</xdr:row>
      <xdr:rowOff>25400</xdr:rowOff>
    </xdr:from>
    <xdr:to>
      <xdr:col>9</xdr:col>
      <xdr:colOff>152400</xdr:colOff>
      <xdr:row>11</xdr:row>
      <xdr:rowOff>120650</xdr:rowOff>
    </xdr:to>
    <xdr:graphicFrame macro="">
      <xdr:nvGraphicFramePr>
        <xdr:cNvPr id="5" name="Chart 4">
          <a:extLst>
            <a:ext uri="{FF2B5EF4-FFF2-40B4-BE49-F238E27FC236}">
              <a16:creationId xmlns:a16="http://schemas.microsoft.com/office/drawing/2014/main" id="{049EBE6C-C0C6-0954-76CB-396C6722C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282575</xdr:colOff>
      <xdr:row>3</xdr:row>
      <xdr:rowOff>76200</xdr:rowOff>
    </xdr:from>
    <xdr:to>
      <xdr:col>16</xdr:col>
      <xdr:colOff>355600</xdr:colOff>
      <xdr:row>19</xdr:row>
      <xdr:rowOff>38100</xdr:rowOff>
    </xdr:to>
    <xdr:graphicFrame macro="">
      <xdr:nvGraphicFramePr>
        <xdr:cNvPr id="6" name="Chart 5">
          <a:extLst>
            <a:ext uri="{FF2B5EF4-FFF2-40B4-BE49-F238E27FC236}">
              <a16:creationId xmlns:a16="http://schemas.microsoft.com/office/drawing/2014/main" id="{FB9A4EF4-81F3-7979-102C-F053FF5A1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12</xdr:row>
      <xdr:rowOff>152400</xdr:rowOff>
    </xdr:from>
    <xdr:to>
      <xdr:col>9</xdr:col>
      <xdr:colOff>114301</xdr:colOff>
      <xdr:row>25</xdr:row>
      <xdr:rowOff>107950</xdr:rowOff>
    </xdr:to>
    <xdr:graphicFrame macro="">
      <xdr:nvGraphicFramePr>
        <xdr:cNvPr id="7" name="Chart 6">
          <a:extLst>
            <a:ext uri="{FF2B5EF4-FFF2-40B4-BE49-F238E27FC236}">
              <a16:creationId xmlns:a16="http://schemas.microsoft.com/office/drawing/2014/main" id="{E03D03F2-9E4E-B43C-71C3-63C3EE28F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Priya" refreshedDate="46283.646796064815" createdVersion="8" refreshedVersion="8" minRefreshableVersion="3" recordCount="150" xr:uid="{2C4FBC68-2DC0-4529-BD20-D8475EF202FA}">
  <cacheSource type="worksheet">
    <worksheetSource name="Table_1"/>
  </cacheSource>
  <cacheFields count="9">
    <cacheField name="Ticket ID" numFmtId="0">
      <sharedItems count="150">
        <s v="T001"/>
        <s v="T002"/>
        <s v="T003"/>
        <s v="T004"/>
        <s v="T005"/>
        <s v="T006"/>
        <s v="T007"/>
        <s v="T008"/>
        <s v="T009"/>
        <s v="T010"/>
        <s v="T011"/>
        <s v="T012"/>
        <s v="T013"/>
        <s v="T014"/>
        <s v="T015"/>
        <s v="T016"/>
        <s v="T017"/>
        <s v="T018"/>
        <s v="T019"/>
        <s v="T020"/>
        <s v="T021"/>
        <s v="T022"/>
        <s v="T023"/>
        <s v="T024"/>
        <s v="T025"/>
        <s v="T026"/>
        <s v="T027"/>
        <s v="T028"/>
        <s v="T029"/>
        <s v="T030"/>
        <s v="T031"/>
        <s v="T032"/>
        <s v="T033"/>
        <s v="T034"/>
        <s v="T035"/>
        <s v="T036"/>
        <s v="T037"/>
        <s v="T038"/>
        <s v="T039"/>
        <s v="T040"/>
        <s v="T041"/>
        <s v="T042"/>
        <s v="T043"/>
        <s v="T044"/>
        <s v="T045"/>
        <s v="T046"/>
        <s v="T047"/>
        <s v="T048"/>
        <s v="T049"/>
        <s v="T050"/>
        <s v="T051"/>
        <s v="T052"/>
        <s v="T053"/>
        <s v="T054"/>
        <s v="T055"/>
        <s v="T056"/>
        <s v="T057"/>
        <s v="T058"/>
        <s v="T059"/>
        <s v="T060"/>
        <s v="T061"/>
        <s v="T062"/>
        <s v="T063"/>
        <s v="T064"/>
        <s v="T065"/>
        <s v="T066"/>
        <s v="T067"/>
        <s v="T068"/>
        <s v="T069"/>
        <s v="T070"/>
        <s v="T071"/>
        <s v="T072"/>
        <s v="T073"/>
        <s v="T074"/>
        <s v="T075"/>
        <s v="T076"/>
        <s v="T077"/>
        <s v="T078"/>
        <s v="T079"/>
        <s v="T080"/>
        <s v="T081"/>
        <s v="T082"/>
        <s v="T083"/>
        <s v="T084"/>
        <s v="T085"/>
        <s v="T086"/>
        <s v="T087"/>
        <s v="T088"/>
        <s v="T089"/>
        <s v="T090"/>
        <s v="T091"/>
        <s v="T092"/>
        <s v="T093"/>
        <s v="T094"/>
        <s v="T095"/>
        <s v="T096"/>
        <s v="T097"/>
        <s v="T098"/>
        <s v="T099"/>
        <s v="T100"/>
        <s v="T101"/>
        <s v="T102"/>
        <s v="T103"/>
        <s v="T104"/>
        <s v="T105"/>
        <s v="T106"/>
        <s v="T107"/>
        <s v="T108"/>
        <s v="T109"/>
        <s v="T110"/>
        <s v="T111"/>
        <s v="T112"/>
        <s v="T113"/>
        <s v="T114"/>
        <s v="T115"/>
        <s v="T116"/>
        <s v="T117"/>
        <s v="T118"/>
        <s v="T119"/>
        <s v="T120"/>
        <s v="T121"/>
        <s v="T122"/>
        <s v="T123"/>
        <s v="T124"/>
        <s v="T125"/>
        <s v="T126"/>
        <s v="T127"/>
        <s v="T128"/>
        <s v="T129"/>
        <s v="T130"/>
        <s v="T131"/>
        <s v="T132"/>
        <s v="T133"/>
        <s v="T134"/>
        <s v="T135"/>
        <s v="T136"/>
        <s v="T137"/>
        <s v="T138"/>
        <s v="T139"/>
        <s v="T140"/>
        <s v="T141"/>
        <s v="T142"/>
        <s v="T143"/>
        <s v="T144"/>
        <s v="T145"/>
        <s v="T146"/>
        <s v="T147"/>
        <s v="T148"/>
        <s v="T149"/>
        <s v="T150"/>
      </sharedItems>
    </cacheField>
    <cacheField name="Date" numFmtId="0">
      <sharedItems containsSemiMixedTypes="0" containsNonDate="0" containsDate="1" containsString="0" minDate="2026-08-01T00:00:00" maxDate="2026-09-16T00:00:00" count="43">
        <d v="2026-09-10T00:00:00"/>
        <d v="2026-09-13T00:00:00"/>
        <d v="2026-08-06T00:00:00"/>
        <d v="2026-09-15T00:00:00"/>
        <d v="2026-08-01T00:00:00"/>
        <d v="2026-08-07T00:00:00"/>
        <d v="2026-08-03T00:00:00"/>
        <d v="2026-08-19T00:00:00"/>
        <d v="2026-08-24T00:00:00"/>
        <d v="2026-09-11T00:00:00"/>
        <d v="2026-08-17T00:00:00"/>
        <d v="2026-08-28T00:00:00"/>
        <d v="2026-08-05T00:00:00"/>
        <d v="2026-09-05T00:00:00"/>
        <d v="2026-08-08T00:00:00"/>
        <d v="2026-08-12T00:00:00"/>
        <d v="2026-09-08T00:00:00"/>
        <d v="2026-08-04T00:00:00"/>
        <d v="2026-09-03T00:00:00"/>
        <d v="2026-08-14T00:00:00"/>
        <d v="2026-08-31T00:00:00"/>
        <d v="2026-08-13T00:00:00"/>
        <d v="2026-08-16T00:00:00"/>
        <d v="2026-08-11T00:00:00"/>
        <d v="2026-08-25T00:00:00"/>
        <d v="2026-09-14T00:00:00"/>
        <d v="2026-08-10T00:00:00"/>
        <d v="2026-08-21T00:00:00"/>
        <d v="2026-08-26T00:00:00"/>
        <d v="2026-08-30T00:00:00"/>
        <d v="2026-09-09T00:00:00"/>
        <d v="2026-09-12T00:00:00"/>
        <d v="2026-09-02T00:00:00"/>
        <d v="2026-08-20T00:00:00"/>
        <d v="2026-08-18T00:00:00"/>
        <d v="2026-08-29T00:00:00"/>
        <d v="2026-09-01T00:00:00"/>
        <d v="2026-09-04T00:00:00"/>
        <d v="2026-08-22T00:00:00"/>
        <d v="2026-08-15T00:00:00"/>
        <d v="2026-09-06T00:00:00"/>
        <d v="2026-08-02T00:00:00"/>
        <d v="2026-08-23T00:00:00"/>
      </sharedItems>
    </cacheField>
    <cacheField name="Student" numFmtId="0">
      <sharedItems/>
    </cacheField>
    <cacheField name="Support Agent" numFmtId="0">
      <sharedItems count="4">
        <s v="Agent A"/>
        <s v="Agent B"/>
        <s v="Agent C"/>
        <s v="Agent D"/>
      </sharedItems>
    </cacheField>
    <cacheField name="Category" numFmtId="0">
      <sharedItems count="6">
        <s v="Admission"/>
        <s v="Exam"/>
        <s v="Payment"/>
        <s v="Course"/>
        <s v="Technical"/>
        <s v="Certificate"/>
      </sharedItems>
    </cacheField>
    <cacheField name="Priority" numFmtId="0">
      <sharedItems count="3">
        <s v="High"/>
        <s v="Low"/>
        <s v="Medium"/>
      </sharedItems>
    </cacheField>
    <cacheField name="Status" numFmtId="0">
      <sharedItems count="4">
        <s v="Resolved"/>
        <s v="Pending"/>
        <s v="In Progress"/>
        <s v="Escalated"/>
      </sharedItems>
    </cacheField>
    <cacheField name="Resolution Time (hrs)" numFmtId="0">
      <sharedItems containsSemiMixedTypes="0" containsString="0" containsNumber="1" containsInteger="1" minValue="1" maxValue="24"/>
    </cacheField>
    <cacheField name="Satisfaction" numFmtId="0">
      <sharedItems containsString="0" containsBlank="1" containsNumber="1" containsInteger="1" minValue="1" maxValue="5"/>
    </cacheField>
  </cacheFields>
  <extLst>
    <ext xmlns:x14="http://schemas.microsoft.com/office/spreadsheetml/2009/9/main" uri="{725AE2AE-9491-48be-B2B4-4EB974FC3084}">
      <x14:pivotCacheDefinition pivotCacheId="2139365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s v="Student 014"/>
    <x v="0"/>
    <x v="0"/>
    <x v="0"/>
    <x v="0"/>
    <n v="8"/>
    <n v="2"/>
  </r>
  <r>
    <x v="1"/>
    <x v="1"/>
    <s v="Student 004"/>
    <x v="1"/>
    <x v="1"/>
    <x v="1"/>
    <x v="0"/>
    <n v="14"/>
    <n v="1"/>
  </r>
  <r>
    <x v="2"/>
    <x v="2"/>
    <s v="Student 026"/>
    <x v="0"/>
    <x v="2"/>
    <x v="0"/>
    <x v="1"/>
    <n v="18"/>
    <m/>
  </r>
  <r>
    <x v="3"/>
    <x v="3"/>
    <s v="Student 036"/>
    <x v="2"/>
    <x v="1"/>
    <x v="2"/>
    <x v="0"/>
    <n v="15"/>
    <n v="5"/>
  </r>
  <r>
    <x v="4"/>
    <x v="4"/>
    <s v="Student 044"/>
    <x v="1"/>
    <x v="2"/>
    <x v="2"/>
    <x v="0"/>
    <n v="5"/>
    <n v="2"/>
  </r>
  <r>
    <x v="5"/>
    <x v="5"/>
    <s v="Student 034"/>
    <x v="0"/>
    <x v="0"/>
    <x v="2"/>
    <x v="0"/>
    <n v="12"/>
    <n v="5"/>
  </r>
  <r>
    <x v="6"/>
    <x v="6"/>
    <s v="Student 071"/>
    <x v="1"/>
    <x v="1"/>
    <x v="2"/>
    <x v="0"/>
    <n v="13"/>
    <n v="1"/>
  </r>
  <r>
    <x v="7"/>
    <x v="7"/>
    <s v="Student 025"/>
    <x v="1"/>
    <x v="1"/>
    <x v="2"/>
    <x v="2"/>
    <n v="19"/>
    <m/>
  </r>
  <r>
    <x v="8"/>
    <x v="3"/>
    <s v="Student 030"/>
    <x v="1"/>
    <x v="0"/>
    <x v="0"/>
    <x v="0"/>
    <n v="10"/>
    <n v="1"/>
  </r>
  <r>
    <x v="9"/>
    <x v="5"/>
    <s v="Student 021"/>
    <x v="2"/>
    <x v="3"/>
    <x v="2"/>
    <x v="1"/>
    <n v="12"/>
    <m/>
  </r>
  <r>
    <x v="10"/>
    <x v="8"/>
    <s v="Student 078"/>
    <x v="2"/>
    <x v="4"/>
    <x v="0"/>
    <x v="0"/>
    <n v="22"/>
    <n v="1"/>
  </r>
  <r>
    <x v="11"/>
    <x v="0"/>
    <s v="Student 035"/>
    <x v="2"/>
    <x v="2"/>
    <x v="2"/>
    <x v="0"/>
    <n v="15"/>
    <n v="4"/>
  </r>
  <r>
    <x v="12"/>
    <x v="0"/>
    <s v="Student 030"/>
    <x v="2"/>
    <x v="1"/>
    <x v="2"/>
    <x v="1"/>
    <n v="2"/>
    <m/>
  </r>
  <r>
    <x v="13"/>
    <x v="6"/>
    <s v="Student 028"/>
    <x v="2"/>
    <x v="4"/>
    <x v="2"/>
    <x v="0"/>
    <n v="19"/>
    <n v="3"/>
  </r>
  <r>
    <x v="14"/>
    <x v="9"/>
    <s v="Student 019"/>
    <x v="0"/>
    <x v="3"/>
    <x v="2"/>
    <x v="2"/>
    <n v="15"/>
    <m/>
  </r>
  <r>
    <x v="15"/>
    <x v="10"/>
    <s v="Student 075"/>
    <x v="0"/>
    <x v="2"/>
    <x v="0"/>
    <x v="1"/>
    <n v="9"/>
    <m/>
  </r>
  <r>
    <x v="16"/>
    <x v="11"/>
    <s v="Student 064"/>
    <x v="0"/>
    <x v="5"/>
    <x v="2"/>
    <x v="0"/>
    <n v="5"/>
    <n v="5"/>
  </r>
  <r>
    <x v="17"/>
    <x v="2"/>
    <s v="Student 077"/>
    <x v="0"/>
    <x v="0"/>
    <x v="1"/>
    <x v="0"/>
    <n v="6"/>
    <n v="4"/>
  </r>
  <r>
    <x v="18"/>
    <x v="12"/>
    <s v="Student 033"/>
    <x v="1"/>
    <x v="3"/>
    <x v="2"/>
    <x v="3"/>
    <n v="17"/>
    <m/>
  </r>
  <r>
    <x v="19"/>
    <x v="13"/>
    <s v="Student 044"/>
    <x v="2"/>
    <x v="0"/>
    <x v="2"/>
    <x v="0"/>
    <n v="18"/>
    <n v="3"/>
  </r>
  <r>
    <x v="20"/>
    <x v="14"/>
    <s v="Student 065"/>
    <x v="2"/>
    <x v="4"/>
    <x v="2"/>
    <x v="0"/>
    <n v="24"/>
    <n v="3"/>
  </r>
  <r>
    <x v="21"/>
    <x v="15"/>
    <s v="Student 065"/>
    <x v="1"/>
    <x v="5"/>
    <x v="1"/>
    <x v="2"/>
    <n v="10"/>
    <m/>
  </r>
  <r>
    <x v="22"/>
    <x v="16"/>
    <s v="Student 068"/>
    <x v="1"/>
    <x v="2"/>
    <x v="0"/>
    <x v="2"/>
    <n v="18"/>
    <m/>
  </r>
  <r>
    <x v="23"/>
    <x v="4"/>
    <s v="Student 031"/>
    <x v="1"/>
    <x v="5"/>
    <x v="2"/>
    <x v="0"/>
    <n v="12"/>
    <n v="3"/>
  </r>
  <r>
    <x v="24"/>
    <x v="17"/>
    <s v="Student 063"/>
    <x v="1"/>
    <x v="2"/>
    <x v="1"/>
    <x v="3"/>
    <n v="3"/>
    <m/>
  </r>
  <r>
    <x v="25"/>
    <x v="12"/>
    <s v="Student 022"/>
    <x v="1"/>
    <x v="5"/>
    <x v="1"/>
    <x v="0"/>
    <n v="16"/>
    <n v="5"/>
  </r>
  <r>
    <x v="26"/>
    <x v="10"/>
    <s v="Student 026"/>
    <x v="1"/>
    <x v="5"/>
    <x v="1"/>
    <x v="0"/>
    <n v="7"/>
    <n v="5"/>
  </r>
  <r>
    <x v="27"/>
    <x v="3"/>
    <s v="Student 057"/>
    <x v="1"/>
    <x v="4"/>
    <x v="2"/>
    <x v="1"/>
    <n v="12"/>
    <m/>
  </r>
  <r>
    <x v="28"/>
    <x v="18"/>
    <s v="Student 076"/>
    <x v="2"/>
    <x v="3"/>
    <x v="0"/>
    <x v="0"/>
    <n v="11"/>
    <n v="1"/>
  </r>
  <r>
    <x v="29"/>
    <x v="13"/>
    <s v="Student 030"/>
    <x v="0"/>
    <x v="2"/>
    <x v="2"/>
    <x v="0"/>
    <n v="23"/>
    <n v="1"/>
  </r>
  <r>
    <x v="30"/>
    <x v="12"/>
    <s v="Student 063"/>
    <x v="2"/>
    <x v="0"/>
    <x v="1"/>
    <x v="0"/>
    <n v="8"/>
    <n v="3"/>
  </r>
  <r>
    <x v="31"/>
    <x v="19"/>
    <s v="Student 074"/>
    <x v="2"/>
    <x v="5"/>
    <x v="0"/>
    <x v="3"/>
    <n v="19"/>
    <m/>
  </r>
  <r>
    <x v="32"/>
    <x v="20"/>
    <s v="Student 013"/>
    <x v="2"/>
    <x v="2"/>
    <x v="1"/>
    <x v="2"/>
    <n v="7"/>
    <m/>
  </r>
  <r>
    <x v="33"/>
    <x v="5"/>
    <s v="Student 013"/>
    <x v="2"/>
    <x v="1"/>
    <x v="2"/>
    <x v="0"/>
    <n v="15"/>
    <n v="1"/>
  </r>
  <r>
    <x v="34"/>
    <x v="17"/>
    <s v="Student 032"/>
    <x v="2"/>
    <x v="3"/>
    <x v="2"/>
    <x v="2"/>
    <n v="4"/>
    <m/>
  </r>
  <r>
    <x v="35"/>
    <x v="21"/>
    <s v="Student 060"/>
    <x v="2"/>
    <x v="2"/>
    <x v="2"/>
    <x v="0"/>
    <n v="6"/>
    <n v="3"/>
  </r>
  <r>
    <x v="36"/>
    <x v="22"/>
    <s v="Student 013"/>
    <x v="2"/>
    <x v="0"/>
    <x v="2"/>
    <x v="2"/>
    <n v="18"/>
    <m/>
  </r>
  <r>
    <x v="37"/>
    <x v="17"/>
    <s v="Student 031"/>
    <x v="2"/>
    <x v="1"/>
    <x v="1"/>
    <x v="2"/>
    <n v="3"/>
    <m/>
  </r>
  <r>
    <x v="38"/>
    <x v="23"/>
    <s v="Student 022"/>
    <x v="2"/>
    <x v="3"/>
    <x v="2"/>
    <x v="0"/>
    <n v="13"/>
    <n v="1"/>
  </r>
  <r>
    <x v="39"/>
    <x v="24"/>
    <s v="Student 055"/>
    <x v="2"/>
    <x v="0"/>
    <x v="1"/>
    <x v="0"/>
    <n v="15"/>
    <n v="3"/>
  </r>
  <r>
    <x v="40"/>
    <x v="25"/>
    <s v="Student 063"/>
    <x v="1"/>
    <x v="1"/>
    <x v="1"/>
    <x v="1"/>
    <n v="23"/>
    <m/>
  </r>
  <r>
    <x v="41"/>
    <x v="26"/>
    <s v="Student 070"/>
    <x v="0"/>
    <x v="2"/>
    <x v="2"/>
    <x v="3"/>
    <n v="19"/>
    <m/>
  </r>
  <r>
    <x v="42"/>
    <x v="17"/>
    <s v="Student 068"/>
    <x v="2"/>
    <x v="1"/>
    <x v="2"/>
    <x v="0"/>
    <n v="16"/>
    <n v="5"/>
  </r>
  <r>
    <x v="43"/>
    <x v="23"/>
    <s v="Student 077"/>
    <x v="0"/>
    <x v="0"/>
    <x v="1"/>
    <x v="0"/>
    <n v="6"/>
    <n v="1"/>
  </r>
  <r>
    <x v="44"/>
    <x v="12"/>
    <s v="Student 075"/>
    <x v="0"/>
    <x v="1"/>
    <x v="1"/>
    <x v="0"/>
    <n v="19"/>
    <n v="2"/>
  </r>
  <r>
    <x v="45"/>
    <x v="16"/>
    <s v="Student 067"/>
    <x v="0"/>
    <x v="0"/>
    <x v="2"/>
    <x v="0"/>
    <n v="19"/>
    <n v="5"/>
  </r>
  <r>
    <x v="46"/>
    <x v="27"/>
    <s v="Student 034"/>
    <x v="0"/>
    <x v="4"/>
    <x v="0"/>
    <x v="1"/>
    <n v="8"/>
    <m/>
  </r>
  <r>
    <x v="47"/>
    <x v="28"/>
    <s v="Student 002"/>
    <x v="0"/>
    <x v="2"/>
    <x v="2"/>
    <x v="0"/>
    <n v="11"/>
    <n v="1"/>
  </r>
  <r>
    <x v="48"/>
    <x v="29"/>
    <s v="Student 069"/>
    <x v="0"/>
    <x v="5"/>
    <x v="1"/>
    <x v="3"/>
    <n v="3"/>
    <m/>
  </r>
  <r>
    <x v="49"/>
    <x v="19"/>
    <s v="Student 032"/>
    <x v="0"/>
    <x v="5"/>
    <x v="2"/>
    <x v="3"/>
    <n v="3"/>
    <m/>
  </r>
  <r>
    <x v="50"/>
    <x v="8"/>
    <s v="Student 039"/>
    <x v="0"/>
    <x v="4"/>
    <x v="0"/>
    <x v="2"/>
    <n v="23"/>
    <m/>
  </r>
  <r>
    <x v="51"/>
    <x v="30"/>
    <s v="Student 039"/>
    <x v="0"/>
    <x v="1"/>
    <x v="2"/>
    <x v="1"/>
    <n v="18"/>
    <m/>
  </r>
  <r>
    <x v="52"/>
    <x v="31"/>
    <s v="Student 071"/>
    <x v="0"/>
    <x v="0"/>
    <x v="1"/>
    <x v="0"/>
    <n v="4"/>
    <n v="1"/>
  </r>
  <r>
    <x v="53"/>
    <x v="26"/>
    <s v="Student 034"/>
    <x v="0"/>
    <x v="4"/>
    <x v="2"/>
    <x v="0"/>
    <n v="11"/>
    <n v="2"/>
  </r>
  <r>
    <x v="54"/>
    <x v="32"/>
    <s v="Student 012"/>
    <x v="0"/>
    <x v="3"/>
    <x v="2"/>
    <x v="2"/>
    <n v="2"/>
    <m/>
  </r>
  <r>
    <x v="55"/>
    <x v="0"/>
    <s v="Student 034"/>
    <x v="1"/>
    <x v="3"/>
    <x v="1"/>
    <x v="0"/>
    <n v="11"/>
    <n v="2"/>
  </r>
  <r>
    <x v="56"/>
    <x v="23"/>
    <s v="Student 002"/>
    <x v="2"/>
    <x v="1"/>
    <x v="2"/>
    <x v="1"/>
    <n v="18"/>
    <m/>
  </r>
  <r>
    <x v="57"/>
    <x v="14"/>
    <s v="Student 070"/>
    <x v="2"/>
    <x v="0"/>
    <x v="1"/>
    <x v="1"/>
    <n v="5"/>
    <m/>
  </r>
  <r>
    <x v="58"/>
    <x v="6"/>
    <s v="Student 040"/>
    <x v="1"/>
    <x v="4"/>
    <x v="2"/>
    <x v="0"/>
    <n v="5"/>
    <n v="1"/>
  </r>
  <r>
    <x v="59"/>
    <x v="8"/>
    <s v="Student 046"/>
    <x v="0"/>
    <x v="0"/>
    <x v="1"/>
    <x v="0"/>
    <n v="8"/>
    <n v="1"/>
  </r>
  <r>
    <x v="60"/>
    <x v="13"/>
    <s v="Student 021"/>
    <x v="1"/>
    <x v="3"/>
    <x v="1"/>
    <x v="1"/>
    <n v="8"/>
    <m/>
  </r>
  <r>
    <x v="61"/>
    <x v="15"/>
    <s v="Student 053"/>
    <x v="1"/>
    <x v="3"/>
    <x v="0"/>
    <x v="1"/>
    <n v="11"/>
    <m/>
  </r>
  <r>
    <x v="62"/>
    <x v="31"/>
    <s v="Student 049"/>
    <x v="1"/>
    <x v="1"/>
    <x v="1"/>
    <x v="0"/>
    <n v="23"/>
    <n v="1"/>
  </r>
  <r>
    <x v="63"/>
    <x v="6"/>
    <s v="Student 045"/>
    <x v="1"/>
    <x v="3"/>
    <x v="0"/>
    <x v="2"/>
    <n v="15"/>
    <m/>
  </r>
  <r>
    <x v="64"/>
    <x v="33"/>
    <s v="Student 043"/>
    <x v="1"/>
    <x v="2"/>
    <x v="0"/>
    <x v="1"/>
    <n v="13"/>
    <m/>
  </r>
  <r>
    <x v="65"/>
    <x v="34"/>
    <s v="Student 052"/>
    <x v="2"/>
    <x v="0"/>
    <x v="1"/>
    <x v="0"/>
    <n v="21"/>
    <n v="5"/>
  </r>
  <r>
    <x v="66"/>
    <x v="1"/>
    <s v="Student 075"/>
    <x v="0"/>
    <x v="5"/>
    <x v="2"/>
    <x v="0"/>
    <n v="9"/>
    <n v="2"/>
  </r>
  <r>
    <x v="67"/>
    <x v="10"/>
    <s v="Student 056"/>
    <x v="0"/>
    <x v="0"/>
    <x v="0"/>
    <x v="0"/>
    <n v="24"/>
    <n v="3"/>
  </r>
  <r>
    <x v="68"/>
    <x v="16"/>
    <s v="Student 033"/>
    <x v="1"/>
    <x v="5"/>
    <x v="0"/>
    <x v="2"/>
    <n v="7"/>
    <m/>
  </r>
  <r>
    <x v="69"/>
    <x v="6"/>
    <s v="Student 047"/>
    <x v="2"/>
    <x v="1"/>
    <x v="2"/>
    <x v="0"/>
    <n v="18"/>
    <n v="2"/>
  </r>
  <r>
    <x v="70"/>
    <x v="11"/>
    <s v="Student 041"/>
    <x v="2"/>
    <x v="0"/>
    <x v="1"/>
    <x v="2"/>
    <n v="20"/>
    <m/>
  </r>
  <r>
    <x v="71"/>
    <x v="31"/>
    <s v="Student 042"/>
    <x v="2"/>
    <x v="0"/>
    <x v="2"/>
    <x v="0"/>
    <n v="10"/>
    <n v="4"/>
  </r>
  <r>
    <x v="72"/>
    <x v="28"/>
    <s v="Student 023"/>
    <x v="2"/>
    <x v="1"/>
    <x v="2"/>
    <x v="0"/>
    <n v="14"/>
    <n v="4"/>
  </r>
  <r>
    <x v="73"/>
    <x v="30"/>
    <s v="Student 037"/>
    <x v="2"/>
    <x v="5"/>
    <x v="2"/>
    <x v="0"/>
    <n v="1"/>
    <n v="3"/>
  </r>
  <r>
    <x v="74"/>
    <x v="19"/>
    <s v="Student 060"/>
    <x v="2"/>
    <x v="3"/>
    <x v="1"/>
    <x v="1"/>
    <n v="11"/>
    <m/>
  </r>
  <r>
    <x v="75"/>
    <x v="35"/>
    <s v="Student 011"/>
    <x v="2"/>
    <x v="3"/>
    <x v="2"/>
    <x v="0"/>
    <n v="24"/>
    <n v="2"/>
  </r>
  <r>
    <x v="76"/>
    <x v="7"/>
    <s v="Student 031"/>
    <x v="2"/>
    <x v="5"/>
    <x v="2"/>
    <x v="1"/>
    <n v="3"/>
    <m/>
  </r>
  <r>
    <x v="77"/>
    <x v="1"/>
    <s v="Student 032"/>
    <x v="2"/>
    <x v="4"/>
    <x v="0"/>
    <x v="0"/>
    <n v="1"/>
    <n v="1"/>
  </r>
  <r>
    <x v="78"/>
    <x v="20"/>
    <s v="Student 025"/>
    <x v="2"/>
    <x v="5"/>
    <x v="1"/>
    <x v="0"/>
    <n v="14"/>
    <n v="5"/>
  </r>
  <r>
    <x v="79"/>
    <x v="3"/>
    <s v="Student 014"/>
    <x v="2"/>
    <x v="1"/>
    <x v="2"/>
    <x v="0"/>
    <n v="5"/>
    <n v="1"/>
  </r>
  <r>
    <x v="80"/>
    <x v="11"/>
    <s v="Student 060"/>
    <x v="2"/>
    <x v="2"/>
    <x v="0"/>
    <x v="3"/>
    <n v="17"/>
    <m/>
  </r>
  <r>
    <x v="81"/>
    <x v="17"/>
    <s v="Student 018"/>
    <x v="2"/>
    <x v="5"/>
    <x v="0"/>
    <x v="2"/>
    <n v="15"/>
    <m/>
  </r>
  <r>
    <x v="82"/>
    <x v="29"/>
    <s v="Student 057"/>
    <x v="2"/>
    <x v="1"/>
    <x v="2"/>
    <x v="1"/>
    <n v="11"/>
    <m/>
  </r>
  <r>
    <x v="83"/>
    <x v="30"/>
    <s v="Student 021"/>
    <x v="0"/>
    <x v="1"/>
    <x v="1"/>
    <x v="0"/>
    <n v="18"/>
    <n v="4"/>
  </r>
  <r>
    <x v="84"/>
    <x v="20"/>
    <s v="Student 067"/>
    <x v="1"/>
    <x v="3"/>
    <x v="2"/>
    <x v="0"/>
    <n v="21"/>
    <n v="3"/>
  </r>
  <r>
    <x v="85"/>
    <x v="36"/>
    <s v="Student 031"/>
    <x v="1"/>
    <x v="1"/>
    <x v="0"/>
    <x v="0"/>
    <n v="23"/>
    <n v="3"/>
  </r>
  <r>
    <x v="86"/>
    <x v="34"/>
    <s v="Student 030"/>
    <x v="1"/>
    <x v="4"/>
    <x v="2"/>
    <x v="0"/>
    <n v="5"/>
    <n v="2"/>
  </r>
  <r>
    <x v="87"/>
    <x v="24"/>
    <s v="Student 043"/>
    <x v="1"/>
    <x v="1"/>
    <x v="0"/>
    <x v="0"/>
    <n v="14"/>
    <n v="4"/>
  </r>
  <r>
    <x v="88"/>
    <x v="37"/>
    <s v="Student 075"/>
    <x v="0"/>
    <x v="3"/>
    <x v="2"/>
    <x v="0"/>
    <n v="14"/>
    <n v="4"/>
  </r>
  <r>
    <x v="89"/>
    <x v="25"/>
    <s v="Student 062"/>
    <x v="0"/>
    <x v="0"/>
    <x v="1"/>
    <x v="2"/>
    <n v="13"/>
    <m/>
  </r>
  <r>
    <x v="90"/>
    <x v="4"/>
    <s v="Student 070"/>
    <x v="0"/>
    <x v="4"/>
    <x v="2"/>
    <x v="0"/>
    <n v="14"/>
    <n v="5"/>
  </r>
  <r>
    <x v="91"/>
    <x v="16"/>
    <s v="Student 050"/>
    <x v="0"/>
    <x v="2"/>
    <x v="2"/>
    <x v="0"/>
    <n v="16"/>
    <n v="1"/>
  </r>
  <r>
    <x v="92"/>
    <x v="38"/>
    <s v="Student 017"/>
    <x v="0"/>
    <x v="1"/>
    <x v="2"/>
    <x v="0"/>
    <n v="6"/>
    <n v="4"/>
  </r>
  <r>
    <x v="93"/>
    <x v="30"/>
    <s v="Student 011"/>
    <x v="0"/>
    <x v="5"/>
    <x v="0"/>
    <x v="0"/>
    <n v="19"/>
    <n v="1"/>
  </r>
  <r>
    <x v="94"/>
    <x v="9"/>
    <s v="Student 049"/>
    <x v="0"/>
    <x v="3"/>
    <x v="0"/>
    <x v="0"/>
    <n v="2"/>
    <n v="3"/>
  </r>
  <r>
    <x v="95"/>
    <x v="27"/>
    <s v="Student 054"/>
    <x v="3"/>
    <x v="2"/>
    <x v="2"/>
    <x v="0"/>
    <n v="13"/>
    <n v="3"/>
  </r>
  <r>
    <x v="96"/>
    <x v="10"/>
    <s v="Student 045"/>
    <x v="3"/>
    <x v="0"/>
    <x v="2"/>
    <x v="1"/>
    <n v="2"/>
    <m/>
  </r>
  <r>
    <x v="97"/>
    <x v="39"/>
    <s v="Student 004"/>
    <x v="3"/>
    <x v="1"/>
    <x v="0"/>
    <x v="3"/>
    <n v="2"/>
    <m/>
  </r>
  <r>
    <x v="98"/>
    <x v="22"/>
    <s v="Student 017"/>
    <x v="3"/>
    <x v="2"/>
    <x v="1"/>
    <x v="1"/>
    <n v="8"/>
    <m/>
  </r>
  <r>
    <x v="99"/>
    <x v="20"/>
    <s v="Student 033"/>
    <x v="3"/>
    <x v="1"/>
    <x v="0"/>
    <x v="3"/>
    <n v="15"/>
    <m/>
  </r>
  <r>
    <x v="100"/>
    <x v="8"/>
    <s v="Student 015"/>
    <x v="3"/>
    <x v="2"/>
    <x v="2"/>
    <x v="3"/>
    <n v="23"/>
    <m/>
  </r>
  <r>
    <x v="101"/>
    <x v="23"/>
    <s v="Student 049"/>
    <x v="3"/>
    <x v="4"/>
    <x v="0"/>
    <x v="0"/>
    <n v="10"/>
    <n v="5"/>
  </r>
  <r>
    <x v="102"/>
    <x v="28"/>
    <s v="Student 032"/>
    <x v="3"/>
    <x v="1"/>
    <x v="0"/>
    <x v="1"/>
    <n v="21"/>
    <m/>
  </r>
  <r>
    <x v="103"/>
    <x v="5"/>
    <s v="Student 016"/>
    <x v="3"/>
    <x v="1"/>
    <x v="1"/>
    <x v="2"/>
    <n v="20"/>
    <m/>
  </r>
  <r>
    <x v="104"/>
    <x v="40"/>
    <s v="Student 065"/>
    <x v="3"/>
    <x v="0"/>
    <x v="2"/>
    <x v="0"/>
    <n v="12"/>
    <n v="1"/>
  </r>
  <r>
    <x v="105"/>
    <x v="9"/>
    <s v="Student 056"/>
    <x v="0"/>
    <x v="4"/>
    <x v="0"/>
    <x v="0"/>
    <n v="16"/>
    <n v="1"/>
  </r>
  <r>
    <x v="106"/>
    <x v="8"/>
    <s v="Student 023"/>
    <x v="1"/>
    <x v="1"/>
    <x v="1"/>
    <x v="0"/>
    <n v="5"/>
    <n v="4"/>
  </r>
  <r>
    <x v="107"/>
    <x v="18"/>
    <s v="Student 062"/>
    <x v="2"/>
    <x v="1"/>
    <x v="2"/>
    <x v="2"/>
    <n v="18"/>
    <m/>
  </r>
  <r>
    <x v="108"/>
    <x v="29"/>
    <s v="Student 032"/>
    <x v="1"/>
    <x v="3"/>
    <x v="1"/>
    <x v="1"/>
    <n v="11"/>
    <m/>
  </r>
  <r>
    <x v="109"/>
    <x v="2"/>
    <s v="Student 079"/>
    <x v="3"/>
    <x v="4"/>
    <x v="1"/>
    <x v="0"/>
    <n v="15"/>
    <n v="5"/>
  </r>
  <r>
    <x v="110"/>
    <x v="31"/>
    <s v="Student 063"/>
    <x v="3"/>
    <x v="3"/>
    <x v="2"/>
    <x v="0"/>
    <n v="11"/>
    <n v="2"/>
  </r>
  <r>
    <x v="111"/>
    <x v="19"/>
    <s v="Student 072"/>
    <x v="3"/>
    <x v="4"/>
    <x v="1"/>
    <x v="0"/>
    <n v="20"/>
    <n v="3"/>
  </r>
  <r>
    <x v="112"/>
    <x v="4"/>
    <s v="Student 063"/>
    <x v="3"/>
    <x v="5"/>
    <x v="1"/>
    <x v="0"/>
    <n v="24"/>
    <n v="4"/>
  </r>
  <r>
    <x v="113"/>
    <x v="13"/>
    <s v="Student 058"/>
    <x v="3"/>
    <x v="2"/>
    <x v="2"/>
    <x v="1"/>
    <n v="16"/>
    <m/>
  </r>
  <r>
    <x v="114"/>
    <x v="41"/>
    <s v="Student 075"/>
    <x v="3"/>
    <x v="0"/>
    <x v="2"/>
    <x v="0"/>
    <n v="8"/>
    <n v="3"/>
  </r>
  <r>
    <x v="115"/>
    <x v="8"/>
    <s v="Student 043"/>
    <x v="3"/>
    <x v="3"/>
    <x v="2"/>
    <x v="0"/>
    <n v="24"/>
    <n v="5"/>
  </r>
  <r>
    <x v="116"/>
    <x v="42"/>
    <s v="Student 025"/>
    <x v="3"/>
    <x v="1"/>
    <x v="2"/>
    <x v="0"/>
    <n v="8"/>
    <n v="1"/>
  </r>
  <r>
    <x v="117"/>
    <x v="27"/>
    <s v="Student 024"/>
    <x v="3"/>
    <x v="0"/>
    <x v="2"/>
    <x v="3"/>
    <n v="23"/>
    <m/>
  </r>
  <r>
    <x v="118"/>
    <x v="21"/>
    <s v="Student 077"/>
    <x v="3"/>
    <x v="2"/>
    <x v="2"/>
    <x v="0"/>
    <n v="19"/>
    <n v="5"/>
  </r>
  <r>
    <x v="119"/>
    <x v="7"/>
    <s v="Student 039"/>
    <x v="3"/>
    <x v="0"/>
    <x v="1"/>
    <x v="0"/>
    <n v="12"/>
    <n v="2"/>
  </r>
  <r>
    <x v="120"/>
    <x v="4"/>
    <s v="Student 038"/>
    <x v="3"/>
    <x v="1"/>
    <x v="2"/>
    <x v="0"/>
    <n v="2"/>
    <n v="5"/>
  </r>
  <r>
    <x v="121"/>
    <x v="25"/>
    <s v="Student 002"/>
    <x v="3"/>
    <x v="2"/>
    <x v="2"/>
    <x v="2"/>
    <n v="4"/>
    <m/>
  </r>
  <r>
    <x v="122"/>
    <x v="40"/>
    <s v="Student 033"/>
    <x v="3"/>
    <x v="4"/>
    <x v="2"/>
    <x v="0"/>
    <n v="6"/>
    <n v="1"/>
  </r>
  <r>
    <x v="123"/>
    <x v="20"/>
    <s v="Student 007"/>
    <x v="3"/>
    <x v="0"/>
    <x v="1"/>
    <x v="0"/>
    <n v="3"/>
    <n v="5"/>
  </r>
  <r>
    <x v="124"/>
    <x v="26"/>
    <s v="Student 032"/>
    <x v="3"/>
    <x v="2"/>
    <x v="1"/>
    <x v="3"/>
    <n v="3"/>
    <m/>
  </r>
  <r>
    <x v="125"/>
    <x v="14"/>
    <s v="Student 029"/>
    <x v="3"/>
    <x v="5"/>
    <x v="1"/>
    <x v="1"/>
    <n v="20"/>
    <m/>
  </r>
  <r>
    <x v="126"/>
    <x v="18"/>
    <s v="Student 040"/>
    <x v="3"/>
    <x v="3"/>
    <x v="2"/>
    <x v="0"/>
    <n v="19"/>
    <n v="4"/>
  </r>
  <r>
    <x v="127"/>
    <x v="40"/>
    <s v="Student 027"/>
    <x v="3"/>
    <x v="5"/>
    <x v="0"/>
    <x v="3"/>
    <n v="4"/>
    <m/>
  </r>
  <r>
    <x v="128"/>
    <x v="0"/>
    <s v="Student 071"/>
    <x v="3"/>
    <x v="2"/>
    <x v="2"/>
    <x v="0"/>
    <n v="8"/>
    <n v="2"/>
  </r>
  <r>
    <x v="129"/>
    <x v="12"/>
    <s v="Student 038"/>
    <x v="1"/>
    <x v="2"/>
    <x v="0"/>
    <x v="0"/>
    <n v="20"/>
    <n v="4"/>
  </r>
  <r>
    <x v="130"/>
    <x v="6"/>
    <s v="Student 030"/>
    <x v="0"/>
    <x v="2"/>
    <x v="2"/>
    <x v="0"/>
    <n v="15"/>
    <n v="1"/>
  </r>
  <r>
    <x v="131"/>
    <x v="10"/>
    <s v="Student 055"/>
    <x v="2"/>
    <x v="1"/>
    <x v="2"/>
    <x v="2"/>
    <n v="7"/>
    <m/>
  </r>
  <r>
    <x v="132"/>
    <x v="14"/>
    <s v="Student 010"/>
    <x v="1"/>
    <x v="5"/>
    <x v="0"/>
    <x v="0"/>
    <n v="9"/>
    <n v="2"/>
  </r>
  <r>
    <x v="133"/>
    <x v="17"/>
    <s v="Student 037"/>
    <x v="0"/>
    <x v="2"/>
    <x v="1"/>
    <x v="1"/>
    <n v="19"/>
    <m/>
  </r>
  <r>
    <x v="134"/>
    <x v="35"/>
    <s v="Student 065"/>
    <x v="0"/>
    <x v="0"/>
    <x v="2"/>
    <x v="0"/>
    <n v="13"/>
    <n v="3"/>
  </r>
  <r>
    <x v="135"/>
    <x v="37"/>
    <s v="Student 042"/>
    <x v="0"/>
    <x v="3"/>
    <x v="2"/>
    <x v="1"/>
    <n v="14"/>
    <m/>
  </r>
  <r>
    <x v="136"/>
    <x v="16"/>
    <s v="Student 076"/>
    <x v="0"/>
    <x v="4"/>
    <x v="0"/>
    <x v="0"/>
    <n v="22"/>
    <n v="5"/>
  </r>
  <r>
    <x v="137"/>
    <x v="41"/>
    <s v="Student 061"/>
    <x v="0"/>
    <x v="1"/>
    <x v="1"/>
    <x v="1"/>
    <n v="6"/>
    <m/>
  </r>
  <r>
    <x v="138"/>
    <x v="18"/>
    <s v="Student 063"/>
    <x v="0"/>
    <x v="1"/>
    <x v="2"/>
    <x v="0"/>
    <n v="19"/>
    <n v="4"/>
  </r>
  <r>
    <x v="139"/>
    <x v="2"/>
    <s v="Student 021"/>
    <x v="0"/>
    <x v="3"/>
    <x v="2"/>
    <x v="0"/>
    <n v="22"/>
    <n v="1"/>
  </r>
  <r>
    <x v="140"/>
    <x v="38"/>
    <s v="Student 005"/>
    <x v="0"/>
    <x v="3"/>
    <x v="2"/>
    <x v="0"/>
    <n v="13"/>
    <n v="5"/>
  </r>
  <r>
    <x v="141"/>
    <x v="29"/>
    <s v="Student 001"/>
    <x v="1"/>
    <x v="0"/>
    <x v="2"/>
    <x v="0"/>
    <n v="13"/>
    <n v="5"/>
  </r>
  <r>
    <x v="142"/>
    <x v="31"/>
    <s v="Student 080"/>
    <x v="3"/>
    <x v="5"/>
    <x v="2"/>
    <x v="0"/>
    <n v="17"/>
    <n v="3"/>
  </r>
  <r>
    <x v="143"/>
    <x v="36"/>
    <s v="Student 017"/>
    <x v="2"/>
    <x v="1"/>
    <x v="2"/>
    <x v="0"/>
    <n v="9"/>
    <n v="5"/>
  </r>
  <r>
    <x v="144"/>
    <x v="7"/>
    <s v="Student 031"/>
    <x v="1"/>
    <x v="3"/>
    <x v="1"/>
    <x v="0"/>
    <n v="1"/>
    <n v="5"/>
  </r>
  <r>
    <x v="145"/>
    <x v="3"/>
    <s v="Student 029"/>
    <x v="0"/>
    <x v="2"/>
    <x v="2"/>
    <x v="0"/>
    <n v="14"/>
    <n v="1"/>
  </r>
  <r>
    <x v="146"/>
    <x v="14"/>
    <s v="Student 064"/>
    <x v="3"/>
    <x v="3"/>
    <x v="1"/>
    <x v="1"/>
    <n v="5"/>
    <m/>
  </r>
  <r>
    <x v="147"/>
    <x v="3"/>
    <s v="Student 032"/>
    <x v="2"/>
    <x v="4"/>
    <x v="2"/>
    <x v="0"/>
    <n v="16"/>
    <n v="4"/>
  </r>
  <r>
    <x v="148"/>
    <x v="29"/>
    <s v="Student 018"/>
    <x v="1"/>
    <x v="5"/>
    <x v="0"/>
    <x v="0"/>
    <n v="20"/>
    <n v="5"/>
  </r>
  <r>
    <x v="149"/>
    <x v="12"/>
    <s v="Student 065"/>
    <x v="0"/>
    <x v="4"/>
    <x v="1"/>
    <x v="2"/>
    <n v="1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7FE4EA-CE68-40C1-86D5-312F704383C8}"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9:F16" firstHeaderRow="0" firstDataRow="1" firstDataCol="1"/>
  <pivotFields count="9">
    <pivotField showAll="0"/>
    <pivotField showAll="0"/>
    <pivotField showAll="0"/>
    <pivotField showAll="0">
      <items count="5">
        <item h="1" x="0"/>
        <item h="1" x="1"/>
        <item h="1" x="2"/>
        <item x="3"/>
        <item t="default"/>
      </items>
    </pivotField>
    <pivotField axis="axisRow" showAll="0">
      <items count="7">
        <item x="0"/>
        <item x="5"/>
        <item x="3"/>
        <item x="1"/>
        <item x="2"/>
        <item x="4"/>
        <item t="default"/>
      </items>
    </pivotField>
    <pivotField showAll="0"/>
    <pivotField showAll="0"/>
    <pivotField dataField="1" showAll="0"/>
    <pivotField dataField="1" showAll="0"/>
  </pivotFields>
  <rowFields count="1">
    <field x="4"/>
  </rowFields>
  <rowItems count="7">
    <i>
      <x/>
    </i>
    <i>
      <x v="1"/>
    </i>
    <i>
      <x v="2"/>
    </i>
    <i>
      <x v="3"/>
    </i>
    <i>
      <x v="4"/>
    </i>
    <i>
      <x v="5"/>
    </i>
    <i t="grand">
      <x/>
    </i>
  </rowItems>
  <colFields count="1">
    <field x="-2"/>
  </colFields>
  <colItems count="2">
    <i>
      <x/>
    </i>
    <i i="1">
      <x v="1"/>
    </i>
  </colItems>
  <dataFields count="2">
    <dataField name="Average of Satisfaction" fld="8" subtotal="average" baseField="0" baseItem="0"/>
    <dataField name="Sum of Resolution Time (hrs)"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F869F9-0F49-42DF-8E09-6145B1589899}"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B37" firstHeaderRow="1" firstDataRow="1" firstDataCol="1"/>
  <pivotFields count="9">
    <pivotField showAll="0"/>
    <pivotField showAll="0"/>
    <pivotField dataField="1" showAll="0"/>
    <pivotField showAll="0">
      <items count="5">
        <item h="1" x="0"/>
        <item h="1" x="1"/>
        <item h="1" x="2"/>
        <item x="3"/>
        <item t="default"/>
      </items>
    </pivotField>
    <pivotField axis="axisRow" showAll="0">
      <items count="7">
        <item x="0"/>
        <item x="5"/>
        <item x="3"/>
        <item x="1"/>
        <item x="2"/>
        <item x="4"/>
        <item t="default"/>
      </items>
    </pivotField>
    <pivotField axis="axisRow" showAll="0">
      <items count="4">
        <item x="0"/>
        <item x="1"/>
        <item x="2"/>
        <item t="default"/>
      </items>
    </pivotField>
    <pivotField showAll="0"/>
    <pivotField showAll="0"/>
    <pivotField showAll="0"/>
  </pivotFields>
  <rowFields count="2">
    <field x="4"/>
    <field x="5"/>
  </rowFields>
  <rowItems count="22">
    <i>
      <x/>
    </i>
    <i r="1">
      <x v="1"/>
    </i>
    <i r="1">
      <x v="2"/>
    </i>
    <i>
      <x v="1"/>
    </i>
    <i r="1">
      <x/>
    </i>
    <i r="1">
      <x v="1"/>
    </i>
    <i r="1">
      <x v="2"/>
    </i>
    <i>
      <x v="2"/>
    </i>
    <i r="1">
      <x v="1"/>
    </i>
    <i r="1">
      <x v="2"/>
    </i>
    <i>
      <x v="3"/>
    </i>
    <i r="1">
      <x/>
    </i>
    <i r="1">
      <x v="1"/>
    </i>
    <i r="1">
      <x v="2"/>
    </i>
    <i>
      <x v="4"/>
    </i>
    <i r="1">
      <x v="1"/>
    </i>
    <i r="1">
      <x v="2"/>
    </i>
    <i>
      <x v="5"/>
    </i>
    <i r="1">
      <x/>
    </i>
    <i r="1">
      <x v="1"/>
    </i>
    <i r="1">
      <x v="2"/>
    </i>
    <i t="grand">
      <x/>
    </i>
  </rowItems>
  <colItems count="1">
    <i/>
  </colItems>
  <dataFields count="1">
    <dataField name="Count of Stude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DC41F5-CB97-4609-9573-7C38F439A3CE}"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B13" firstHeaderRow="1" firstDataRow="1" firstDataCol="1" rowPageCount="1" colPageCount="1"/>
  <pivotFields count="9">
    <pivotField dataField="1" showAll="0"/>
    <pivotField showAll="0"/>
    <pivotField showAll="0"/>
    <pivotField axis="axisPage" multipleItemSelectionAllowed="1" showAll="0">
      <items count="5">
        <item h="1" x="0"/>
        <item h="1" x="1"/>
        <item h="1" x="2"/>
        <item x="3"/>
        <item t="default"/>
      </items>
    </pivotField>
    <pivotField showAll="0"/>
    <pivotField showAll="0"/>
    <pivotField axis="axisRow" showAll="0">
      <items count="5">
        <item x="3"/>
        <item x="2"/>
        <item x="1"/>
        <item x="0"/>
        <item t="default"/>
      </items>
    </pivotField>
    <pivotField showAll="0"/>
    <pivotField showAll="0"/>
  </pivotFields>
  <rowFields count="1">
    <field x="6"/>
  </rowFields>
  <rowItems count="5">
    <i>
      <x/>
    </i>
    <i>
      <x v="1"/>
    </i>
    <i>
      <x v="2"/>
    </i>
    <i>
      <x v="3"/>
    </i>
    <i t="grand">
      <x/>
    </i>
  </rowItems>
  <colItems count="1">
    <i/>
  </colItems>
  <pageFields count="1">
    <pageField fld="3" hier="-1"/>
  </pageFields>
  <dataFields count="1">
    <dataField name="Count of Ticke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A75CA2-97AC-4846-BB46-315CDE2E0A9F}" name="PivotTable1"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C4" firstHeaderRow="0" firstDataRow="1" firstDataCol="0" rowPageCount="1" colPageCount="1"/>
  <pivotFields count="9">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44">
        <item x="4"/>
        <item x="41"/>
        <item x="6"/>
        <item x="17"/>
        <item x="12"/>
        <item x="2"/>
        <item x="5"/>
        <item x="14"/>
        <item x="26"/>
        <item x="23"/>
        <item x="15"/>
        <item x="21"/>
        <item x="19"/>
        <item x="39"/>
        <item x="22"/>
        <item x="10"/>
        <item x="34"/>
        <item x="7"/>
        <item x="33"/>
        <item x="27"/>
        <item x="38"/>
        <item x="42"/>
        <item x="8"/>
        <item x="24"/>
        <item x="28"/>
        <item x="11"/>
        <item x="35"/>
        <item x="29"/>
        <item x="20"/>
        <item x="36"/>
        <item x="32"/>
        <item x="18"/>
        <item x="37"/>
        <item x="13"/>
        <item x="40"/>
        <item x="16"/>
        <item x="30"/>
        <item x="0"/>
        <item x="9"/>
        <item x="31"/>
        <item x="1"/>
        <item x="25"/>
        <item x="3"/>
        <item t="default"/>
      </items>
    </pivotField>
    <pivotField showAll="0"/>
    <pivotField axis="axisPage" multipleItemSelectionAllowed="1" showAll="0">
      <items count="5">
        <item h="1" x="0"/>
        <item h="1" x="1"/>
        <item h="1" x="2"/>
        <item x="3"/>
        <item t="default"/>
      </items>
    </pivotField>
    <pivotField showAll="0"/>
    <pivotField showAll="0"/>
    <pivotField showAll="0"/>
    <pivotField dataField="1" showAll="0"/>
    <pivotField dataField="1" showAll="0"/>
  </pivotFields>
  <rowItems count="1">
    <i/>
  </rowItems>
  <colFields count="1">
    <field x="-2"/>
  </colFields>
  <colItems count="3">
    <i>
      <x/>
    </i>
    <i i="1">
      <x v="1"/>
    </i>
    <i i="2">
      <x v="2"/>
    </i>
  </colItems>
  <pageFields count="1">
    <pageField fld="3" hier="-1"/>
  </pageFields>
  <dataFields count="3">
    <dataField name="Count of Ticket ID" fld="0" subtotal="count" baseField="0" baseItem="0"/>
    <dataField name="Average of Resolution Time (hrs)" fld="7" subtotal="average" baseField="0" baseItem="0"/>
    <dataField name="Average of Satisfaction" fld="8"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40" name="Date">
      <autoFilter ref="A1">
        <filterColumn colId="0">
          <customFilters and="1">
            <customFilter operator="greaterThanOrEqual" val="46113"/>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ort_Agent" xr10:uid="{B512A57C-9387-4A15-90D4-EF58B8484195}" sourceName="Support Agent">
  <pivotTables>
    <pivotTable tabId="9" name="PivotTable1"/>
    <pivotTable tabId="9" name="PivotTable2"/>
    <pivotTable tabId="9" name="PivotTable3"/>
    <pivotTable tabId="9" name="PivotTable4"/>
  </pivotTables>
  <data>
    <tabular pivotCacheId="2139365124">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ort Agent" xr10:uid="{FAB0B2BF-7A68-4D43-BFDD-9440A2650014}" cache="Slicer_Support_Agent" caption="Support Agent" columnCount="2" style="SlicerStyleLight3"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ort Agent 2" xr10:uid="{C558010E-EFEC-4585-B7AD-83C7626F4059}" cache="Slicer_Support_Agent" caption="Support Agent" columnCount="2" style="SlicerStyleLight3"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151">
  <autoFilter ref="A1:J151" xr:uid="{00000000-0009-0000-0100-000001000000}"/>
  <tableColumns count="10">
    <tableColumn id="1" xr3:uid="{00000000-0010-0000-0000-000001000000}" name="Ticket ID"/>
    <tableColumn id="10" xr3:uid="{273DB45E-4769-4F81-9174-C314BBCFC00F}" name="Month" dataDxfId="0">
      <calculatedColumnFormula>TEXT(Table_1[[#This Row],[Date]],"mmmm")</calculatedColumnFormula>
    </tableColumn>
    <tableColumn id="2" xr3:uid="{00000000-0010-0000-0000-000002000000}" name="Date"/>
    <tableColumn id="3" xr3:uid="{00000000-0010-0000-0000-000003000000}" name="Student"/>
    <tableColumn id="4" xr3:uid="{00000000-0010-0000-0000-000004000000}" name="Support Agent"/>
    <tableColumn id="5" xr3:uid="{00000000-0010-0000-0000-000005000000}" name="Category"/>
    <tableColumn id="6" xr3:uid="{00000000-0010-0000-0000-000006000000}" name="Priority"/>
    <tableColumn id="7" xr3:uid="{00000000-0010-0000-0000-000007000000}" name="Status"/>
    <tableColumn id="8" xr3:uid="{00000000-0010-0000-0000-000008000000}" name="Resolution Time (hrs)"/>
    <tableColumn id="9" xr3:uid="{00000000-0010-0000-0000-000009000000}" name="Satisfaction"/>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5058201-7D09-4456-B6A2-E6A51477588B}" sourceName="Date">
  <pivotTables>
    <pivotTable tabId="9" name="PivotTable1"/>
  </pivotTables>
  <state minimalRefreshVersion="6" lastRefreshVersion="6" pivotCacheId="2139365124" filterType="dateBetween">
    <selection startDate="2026-04-01T00:00:00" endDate="2026-08-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BAF2C6A-3340-4836-9CC6-F96F52835CF1}" cache="NativeTimeline_Date" caption="Date" level="2" selectionLevel="2" scrollPosition="2026-02-01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3B0C257-A66B-4B33-986D-06E3CE3492FB}" cache="NativeTimeline_Date" caption="Date" level="2" selectionLevel="2" scrollPosition="2026-01-08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D76D8-63B6-46F0-9E4E-8A6E0BFECB5E}">
  <dimension ref="A1:F37"/>
  <sheetViews>
    <sheetView workbookViewId="0">
      <selection activeCell="E10" sqref="E10"/>
    </sheetView>
  </sheetViews>
  <sheetFormatPr defaultRowHeight="12.5" x14ac:dyDescent="0.25"/>
  <cols>
    <col min="1" max="1" width="16.453125" bestFit="1" customWidth="1"/>
    <col min="2" max="2" width="29.6328125" bestFit="1" customWidth="1"/>
    <col min="3" max="3" width="21.54296875" bestFit="1" customWidth="1"/>
    <col min="4" max="4" width="13" bestFit="1" customWidth="1"/>
    <col min="5" max="5" width="21.08984375" bestFit="1" customWidth="1"/>
    <col min="6" max="6" width="26.36328125" bestFit="1" customWidth="1"/>
  </cols>
  <sheetData>
    <row r="1" spans="1:6" x14ac:dyDescent="0.25">
      <c r="A1" s="6" t="s">
        <v>3</v>
      </c>
      <c r="B1" t="s">
        <v>176</v>
      </c>
      <c r="C1" t="str">
        <f>"Performance of : "&amp;B1</f>
        <v>Performance of : Agent D</v>
      </c>
    </row>
    <row r="3" spans="1:6" x14ac:dyDescent="0.25">
      <c r="A3" t="s">
        <v>248</v>
      </c>
      <c r="B3" t="s">
        <v>251</v>
      </c>
      <c r="C3" t="s">
        <v>250</v>
      </c>
    </row>
    <row r="4" spans="1:6" x14ac:dyDescent="0.25">
      <c r="A4" s="8">
        <v>23</v>
      </c>
      <c r="B4" s="8">
        <v>13.043478260869565</v>
      </c>
      <c r="C4" s="8">
        <v>3.8333333333333335</v>
      </c>
    </row>
    <row r="6" spans="1:6" x14ac:dyDescent="0.25">
      <c r="A6" s="6" t="s">
        <v>3</v>
      </c>
      <c r="B6" t="s">
        <v>176</v>
      </c>
    </row>
    <row r="8" spans="1:6" x14ac:dyDescent="0.25">
      <c r="A8" s="6" t="s">
        <v>246</v>
      </c>
      <c r="B8" t="s">
        <v>248</v>
      </c>
    </row>
    <row r="9" spans="1:6" x14ac:dyDescent="0.25">
      <c r="A9" s="7" t="s">
        <v>32</v>
      </c>
      <c r="B9" s="8">
        <v>6</v>
      </c>
      <c r="D9" s="6" t="s">
        <v>246</v>
      </c>
      <c r="E9" t="s">
        <v>250</v>
      </c>
      <c r="F9" t="s">
        <v>249</v>
      </c>
    </row>
    <row r="10" spans="1:6" x14ac:dyDescent="0.25">
      <c r="A10" s="7" t="s">
        <v>33</v>
      </c>
      <c r="B10" s="8">
        <v>2</v>
      </c>
      <c r="D10" s="7" t="s">
        <v>12</v>
      </c>
      <c r="E10" s="8">
        <v>2.75</v>
      </c>
      <c r="F10" s="8">
        <v>60</v>
      </c>
    </row>
    <row r="11" spans="1:6" x14ac:dyDescent="0.25">
      <c r="A11" s="7" t="s">
        <v>23</v>
      </c>
      <c r="B11" s="8">
        <v>6</v>
      </c>
      <c r="D11" s="7" t="s">
        <v>57</v>
      </c>
      <c r="E11" s="8">
        <v>3.5</v>
      </c>
      <c r="F11" s="8">
        <v>65</v>
      </c>
    </row>
    <row r="12" spans="1:6" x14ac:dyDescent="0.25">
      <c r="A12" s="7" t="s">
        <v>14</v>
      </c>
      <c r="B12" s="8">
        <v>18</v>
      </c>
      <c r="D12" s="7" t="s">
        <v>42</v>
      </c>
      <c r="E12" s="8">
        <v>3.6666666666666665</v>
      </c>
      <c r="F12" s="8">
        <v>59</v>
      </c>
    </row>
    <row r="13" spans="1:6" x14ac:dyDescent="0.25">
      <c r="A13" s="7" t="s">
        <v>247</v>
      </c>
      <c r="B13" s="8">
        <v>32</v>
      </c>
      <c r="D13" s="7" t="s">
        <v>18</v>
      </c>
      <c r="E13" s="8">
        <v>3</v>
      </c>
      <c r="F13" s="8">
        <v>68</v>
      </c>
    </row>
    <row r="14" spans="1:6" x14ac:dyDescent="0.25">
      <c r="D14" s="7" t="s">
        <v>22</v>
      </c>
      <c r="E14" s="8">
        <v>3.3333333333333335</v>
      </c>
      <c r="F14" s="8">
        <v>94</v>
      </c>
    </row>
    <row r="15" spans="1:6" x14ac:dyDescent="0.25">
      <c r="A15" s="6" t="s">
        <v>246</v>
      </c>
      <c r="B15" t="s">
        <v>252</v>
      </c>
      <c r="D15" s="7" t="s">
        <v>45</v>
      </c>
      <c r="E15" s="8">
        <v>3.5</v>
      </c>
      <c r="F15" s="8">
        <v>51</v>
      </c>
    </row>
    <row r="16" spans="1:6" x14ac:dyDescent="0.25">
      <c r="A16" s="7" t="s">
        <v>12</v>
      </c>
      <c r="B16" s="8">
        <v>6</v>
      </c>
      <c r="D16" s="7" t="s">
        <v>247</v>
      </c>
      <c r="E16" s="8">
        <v>3.2777777777777777</v>
      </c>
      <c r="F16" s="8">
        <v>397</v>
      </c>
    </row>
    <row r="17" spans="1:2" x14ac:dyDescent="0.25">
      <c r="A17" s="9" t="s">
        <v>19</v>
      </c>
      <c r="B17" s="8">
        <v>2</v>
      </c>
    </row>
    <row r="18" spans="1:2" x14ac:dyDescent="0.25">
      <c r="A18" s="9" t="s">
        <v>27</v>
      </c>
      <c r="B18" s="8">
        <v>4</v>
      </c>
    </row>
    <row r="19" spans="1:2" x14ac:dyDescent="0.25">
      <c r="A19" s="7" t="s">
        <v>57</v>
      </c>
      <c r="B19" s="8">
        <v>4</v>
      </c>
    </row>
    <row r="20" spans="1:2" x14ac:dyDescent="0.25">
      <c r="A20" s="9" t="s">
        <v>13</v>
      </c>
      <c r="B20" s="8">
        <v>1</v>
      </c>
    </row>
    <row r="21" spans="1:2" x14ac:dyDescent="0.25">
      <c r="A21" s="9" t="s">
        <v>19</v>
      </c>
      <c r="B21" s="8">
        <v>2</v>
      </c>
    </row>
    <row r="22" spans="1:2" x14ac:dyDescent="0.25">
      <c r="A22" s="9" t="s">
        <v>27</v>
      </c>
      <c r="B22" s="8">
        <v>1</v>
      </c>
    </row>
    <row r="23" spans="1:2" x14ac:dyDescent="0.25">
      <c r="A23" s="7" t="s">
        <v>42</v>
      </c>
      <c r="B23" s="8">
        <v>4</v>
      </c>
    </row>
    <row r="24" spans="1:2" x14ac:dyDescent="0.25">
      <c r="A24" s="9" t="s">
        <v>19</v>
      </c>
      <c r="B24" s="8">
        <v>1</v>
      </c>
    </row>
    <row r="25" spans="1:2" x14ac:dyDescent="0.25">
      <c r="A25" s="9" t="s">
        <v>27</v>
      </c>
      <c r="B25" s="8">
        <v>3</v>
      </c>
    </row>
    <row r="26" spans="1:2" x14ac:dyDescent="0.25">
      <c r="A26" s="7" t="s">
        <v>18</v>
      </c>
      <c r="B26" s="8">
        <v>6</v>
      </c>
    </row>
    <row r="27" spans="1:2" x14ac:dyDescent="0.25">
      <c r="A27" s="9" t="s">
        <v>13</v>
      </c>
      <c r="B27" s="8">
        <v>3</v>
      </c>
    </row>
    <row r="28" spans="1:2" x14ac:dyDescent="0.25">
      <c r="A28" s="9" t="s">
        <v>19</v>
      </c>
      <c r="B28" s="8">
        <v>1</v>
      </c>
    </row>
    <row r="29" spans="1:2" x14ac:dyDescent="0.25">
      <c r="A29" s="9" t="s">
        <v>27</v>
      </c>
      <c r="B29" s="8">
        <v>2</v>
      </c>
    </row>
    <row r="30" spans="1:2" x14ac:dyDescent="0.25">
      <c r="A30" s="7" t="s">
        <v>22</v>
      </c>
      <c r="B30" s="8">
        <v>8</v>
      </c>
    </row>
    <row r="31" spans="1:2" x14ac:dyDescent="0.25">
      <c r="A31" s="9" t="s">
        <v>19</v>
      </c>
      <c r="B31" s="8">
        <v>2</v>
      </c>
    </row>
    <row r="32" spans="1:2" x14ac:dyDescent="0.25">
      <c r="A32" s="9" t="s">
        <v>27</v>
      </c>
      <c r="B32" s="8">
        <v>6</v>
      </c>
    </row>
    <row r="33" spans="1:2" x14ac:dyDescent="0.25">
      <c r="A33" s="7" t="s">
        <v>45</v>
      </c>
      <c r="B33" s="8">
        <v>4</v>
      </c>
    </row>
    <row r="34" spans="1:2" x14ac:dyDescent="0.25">
      <c r="A34" s="9" t="s">
        <v>13</v>
      </c>
      <c r="B34" s="8">
        <v>1</v>
      </c>
    </row>
    <row r="35" spans="1:2" x14ac:dyDescent="0.25">
      <c r="A35" s="9" t="s">
        <v>19</v>
      </c>
      <c r="B35" s="8">
        <v>2</v>
      </c>
    </row>
    <row r="36" spans="1:2" x14ac:dyDescent="0.25">
      <c r="A36" s="9" t="s">
        <v>27</v>
      </c>
      <c r="B36" s="8">
        <v>1</v>
      </c>
    </row>
    <row r="37" spans="1:2" x14ac:dyDescent="0.25">
      <c r="A37" s="7" t="s">
        <v>247</v>
      </c>
      <c r="B37" s="8">
        <v>32</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CC73-9911-42E0-BF94-312B732D205A}">
  <dimension ref="A1"/>
  <sheetViews>
    <sheetView showGridLines="0" showRowColHeaders="0" tabSelected="1" workbookViewId="0">
      <selection activeCell="K24" sqref="K24"/>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51"/>
  <sheetViews>
    <sheetView workbookViewId="0">
      <selection activeCell="B3" sqref="B3"/>
    </sheetView>
  </sheetViews>
  <sheetFormatPr defaultColWidth="12.6328125" defaultRowHeight="15.75" customHeight="1" x14ac:dyDescent="0.25"/>
  <cols>
    <col min="1" max="1" width="10.7265625" customWidth="1"/>
    <col min="2" max="2" width="15" customWidth="1"/>
    <col min="3" max="3" width="15.6328125" customWidth="1"/>
    <col min="4" max="5" width="16.453125" customWidth="1"/>
    <col min="6" max="6" width="17.08984375" customWidth="1"/>
    <col min="7" max="7" width="17" customWidth="1"/>
    <col min="8" max="8" width="20.36328125" customWidth="1"/>
    <col min="9" max="9" width="16.36328125" customWidth="1"/>
  </cols>
  <sheetData>
    <row r="1" spans="1:10" ht="15.75" customHeight="1" x14ac:dyDescent="0.25">
      <c r="A1" s="1" t="s">
        <v>0</v>
      </c>
      <c r="B1" s="1" t="s">
        <v>253</v>
      </c>
      <c r="C1" s="1" t="s">
        <v>1</v>
      </c>
      <c r="D1" s="1" t="s">
        <v>2</v>
      </c>
      <c r="E1" s="1" t="s">
        <v>3</v>
      </c>
      <c r="F1" s="1" t="s">
        <v>4</v>
      </c>
      <c r="G1" s="1" t="s">
        <v>5</v>
      </c>
      <c r="H1" s="1" t="s">
        <v>6</v>
      </c>
      <c r="I1" s="1" t="s">
        <v>7</v>
      </c>
      <c r="J1" s="1" t="s">
        <v>8</v>
      </c>
    </row>
    <row r="2" spans="1:10" ht="15.75" customHeight="1" x14ac:dyDescent="0.35">
      <c r="A2" s="2" t="s">
        <v>9</v>
      </c>
      <c r="B2" s="2" t="str">
        <f>TEXT(Table_1[[#This Row],[Date]],"mmmm")</f>
        <v>September</v>
      </c>
      <c r="C2" s="3">
        <v>46275</v>
      </c>
      <c r="D2" s="2" t="s">
        <v>10</v>
      </c>
      <c r="E2" s="2" t="s">
        <v>11</v>
      </c>
      <c r="F2" s="2" t="s">
        <v>12</v>
      </c>
      <c r="G2" s="2" t="s">
        <v>13</v>
      </c>
      <c r="H2" s="2" t="s">
        <v>14</v>
      </c>
      <c r="I2" s="4">
        <v>8</v>
      </c>
      <c r="J2" s="4">
        <v>2</v>
      </c>
    </row>
    <row r="3" spans="1:10" ht="15.75" customHeight="1" x14ac:dyDescent="0.35">
      <c r="A3" s="2" t="s">
        <v>15</v>
      </c>
      <c r="B3" s="2" t="str">
        <f>TEXT(Table_1[[#This Row],[Date]],"mmmm")</f>
        <v>September</v>
      </c>
      <c r="C3" s="3">
        <v>46278</v>
      </c>
      <c r="D3" s="2" t="s">
        <v>16</v>
      </c>
      <c r="E3" s="2" t="s">
        <v>17</v>
      </c>
      <c r="F3" s="2" t="s">
        <v>18</v>
      </c>
      <c r="G3" s="2" t="s">
        <v>19</v>
      </c>
      <c r="H3" s="2" t="s">
        <v>14</v>
      </c>
      <c r="I3" s="4">
        <v>14</v>
      </c>
      <c r="J3" s="4">
        <v>1</v>
      </c>
    </row>
    <row r="4" spans="1:10" ht="15.75" customHeight="1" x14ac:dyDescent="0.35">
      <c r="A4" s="2" t="s">
        <v>20</v>
      </c>
      <c r="B4" s="2" t="str">
        <f>TEXT(Table_1[[#This Row],[Date]],"mmmm")</f>
        <v>August</v>
      </c>
      <c r="C4" s="5">
        <v>46240</v>
      </c>
      <c r="D4" s="2" t="s">
        <v>21</v>
      </c>
      <c r="E4" s="2" t="s">
        <v>11</v>
      </c>
      <c r="F4" s="2" t="s">
        <v>22</v>
      </c>
      <c r="G4" s="2" t="s">
        <v>13</v>
      </c>
      <c r="H4" s="2" t="s">
        <v>23</v>
      </c>
      <c r="I4" s="4">
        <v>18</v>
      </c>
      <c r="J4" s="2"/>
    </row>
    <row r="5" spans="1:10" ht="15.75" customHeight="1" x14ac:dyDescent="0.35">
      <c r="A5" s="2" t="s">
        <v>24</v>
      </c>
      <c r="B5" s="2" t="str">
        <f>TEXT(Table_1[[#This Row],[Date]],"mmmm")</f>
        <v>September</v>
      </c>
      <c r="C5" s="3">
        <v>46280</v>
      </c>
      <c r="D5" s="2" t="s">
        <v>25</v>
      </c>
      <c r="E5" s="2" t="s">
        <v>26</v>
      </c>
      <c r="F5" s="2" t="s">
        <v>18</v>
      </c>
      <c r="G5" s="2" t="s">
        <v>27</v>
      </c>
      <c r="H5" s="2" t="s">
        <v>14</v>
      </c>
      <c r="I5" s="4">
        <v>15</v>
      </c>
      <c r="J5" s="4">
        <v>5</v>
      </c>
    </row>
    <row r="6" spans="1:10" ht="15.75" customHeight="1" x14ac:dyDescent="0.35">
      <c r="A6" s="2" t="s">
        <v>28</v>
      </c>
      <c r="B6" s="2" t="str">
        <f>TEXT(Table_1[[#This Row],[Date]],"mmmm")</f>
        <v>August</v>
      </c>
      <c r="C6" s="5">
        <v>46235</v>
      </c>
      <c r="D6" s="2" t="s">
        <v>29</v>
      </c>
      <c r="E6" s="2" t="s">
        <v>17</v>
      </c>
      <c r="F6" s="2" t="s">
        <v>22</v>
      </c>
      <c r="G6" s="2" t="s">
        <v>27</v>
      </c>
      <c r="H6" s="2" t="s">
        <v>14</v>
      </c>
      <c r="I6" s="4">
        <v>5</v>
      </c>
      <c r="J6" s="4">
        <v>2</v>
      </c>
    </row>
    <row r="7" spans="1:10" ht="15.75" customHeight="1" x14ac:dyDescent="0.35">
      <c r="A7" s="2" t="s">
        <v>30</v>
      </c>
      <c r="B7" s="2" t="str">
        <f>TEXT(Table_1[[#This Row],[Date]],"mmmm")</f>
        <v>August</v>
      </c>
      <c r="C7" s="5">
        <v>46241</v>
      </c>
      <c r="D7" s="2" t="s">
        <v>31</v>
      </c>
      <c r="E7" s="2" t="s">
        <v>11</v>
      </c>
      <c r="F7" s="2" t="s">
        <v>12</v>
      </c>
      <c r="G7" s="2" t="s">
        <v>27</v>
      </c>
      <c r="H7" s="2" t="s">
        <v>14</v>
      </c>
      <c r="I7" s="4">
        <v>12</v>
      </c>
      <c r="J7" s="4">
        <v>5</v>
      </c>
    </row>
    <row r="8" spans="1:10" ht="15.75" customHeight="1" x14ac:dyDescent="0.35">
      <c r="A8" s="2" t="s">
        <v>34</v>
      </c>
      <c r="B8" s="2" t="str">
        <f>TEXT(Table_1[[#This Row],[Date]],"mmmm")</f>
        <v>August</v>
      </c>
      <c r="C8" s="5">
        <v>46237</v>
      </c>
      <c r="D8" s="2" t="s">
        <v>35</v>
      </c>
      <c r="E8" s="2" t="s">
        <v>17</v>
      </c>
      <c r="F8" s="2" t="s">
        <v>18</v>
      </c>
      <c r="G8" s="2" t="s">
        <v>27</v>
      </c>
      <c r="H8" s="2" t="s">
        <v>14</v>
      </c>
      <c r="I8" s="4">
        <v>13</v>
      </c>
      <c r="J8" s="4">
        <v>1</v>
      </c>
    </row>
    <row r="9" spans="1:10" ht="15.75" customHeight="1" x14ac:dyDescent="0.35">
      <c r="A9" s="2" t="s">
        <v>36</v>
      </c>
      <c r="B9" s="2" t="str">
        <f>TEXT(Table_1[[#This Row],[Date]],"mmmm")</f>
        <v>August</v>
      </c>
      <c r="C9" s="3">
        <v>46253</v>
      </c>
      <c r="D9" s="2" t="s">
        <v>37</v>
      </c>
      <c r="E9" s="2" t="s">
        <v>17</v>
      </c>
      <c r="F9" s="2" t="s">
        <v>18</v>
      </c>
      <c r="G9" s="2" t="s">
        <v>27</v>
      </c>
      <c r="H9" s="2" t="s">
        <v>33</v>
      </c>
      <c r="I9" s="4">
        <v>19</v>
      </c>
      <c r="J9" s="2"/>
    </row>
    <row r="10" spans="1:10" ht="15.75" customHeight="1" x14ac:dyDescent="0.35">
      <c r="A10" s="2" t="s">
        <v>38</v>
      </c>
      <c r="B10" s="2" t="str">
        <f>TEXT(Table_1[[#This Row],[Date]],"mmmm")</f>
        <v>September</v>
      </c>
      <c r="C10" s="3">
        <v>46280</v>
      </c>
      <c r="D10" s="2" t="s">
        <v>39</v>
      </c>
      <c r="E10" s="2" t="s">
        <v>17</v>
      </c>
      <c r="F10" s="2" t="s">
        <v>12</v>
      </c>
      <c r="G10" s="2" t="s">
        <v>13</v>
      </c>
      <c r="H10" s="2" t="s">
        <v>14</v>
      </c>
      <c r="I10" s="4">
        <v>10</v>
      </c>
      <c r="J10" s="4">
        <v>1</v>
      </c>
    </row>
    <row r="11" spans="1:10" ht="15.75" customHeight="1" x14ac:dyDescent="0.35">
      <c r="A11" s="2" t="s">
        <v>40</v>
      </c>
      <c r="B11" s="2" t="str">
        <f>TEXT(Table_1[[#This Row],[Date]],"mmmm")</f>
        <v>August</v>
      </c>
      <c r="C11" s="5">
        <v>46241</v>
      </c>
      <c r="D11" s="2" t="s">
        <v>41</v>
      </c>
      <c r="E11" s="2" t="s">
        <v>26</v>
      </c>
      <c r="F11" s="2" t="s">
        <v>42</v>
      </c>
      <c r="G11" s="2" t="s">
        <v>27</v>
      </c>
      <c r="H11" s="2" t="s">
        <v>23</v>
      </c>
      <c r="I11" s="4">
        <v>12</v>
      </c>
      <c r="J11" s="2"/>
    </row>
    <row r="12" spans="1:10" ht="15.75" customHeight="1" x14ac:dyDescent="0.35">
      <c r="A12" s="2" t="s">
        <v>43</v>
      </c>
      <c r="B12" s="2" t="str">
        <f>TEXT(Table_1[[#This Row],[Date]],"mmmm")</f>
        <v>August</v>
      </c>
      <c r="C12" s="3">
        <v>46258</v>
      </c>
      <c r="D12" s="2" t="s">
        <v>44</v>
      </c>
      <c r="E12" s="2" t="s">
        <v>26</v>
      </c>
      <c r="F12" s="2" t="s">
        <v>45</v>
      </c>
      <c r="G12" s="2" t="s">
        <v>13</v>
      </c>
      <c r="H12" s="2" t="s">
        <v>14</v>
      </c>
      <c r="I12" s="4">
        <v>22</v>
      </c>
      <c r="J12" s="4">
        <v>1</v>
      </c>
    </row>
    <row r="13" spans="1:10" ht="15.75" customHeight="1" x14ac:dyDescent="0.35">
      <c r="A13" s="2" t="s">
        <v>46</v>
      </c>
      <c r="B13" s="2" t="str">
        <f>TEXT(Table_1[[#This Row],[Date]],"mmmm")</f>
        <v>September</v>
      </c>
      <c r="C13" s="3">
        <v>46275</v>
      </c>
      <c r="D13" s="2" t="s">
        <v>47</v>
      </c>
      <c r="E13" s="2" t="s">
        <v>26</v>
      </c>
      <c r="F13" s="2" t="s">
        <v>22</v>
      </c>
      <c r="G13" s="2" t="s">
        <v>27</v>
      </c>
      <c r="H13" s="2" t="s">
        <v>14</v>
      </c>
      <c r="I13" s="4">
        <v>15</v>
      </c>
      <c r="J13" s="4">
        <v>4</v>
      </c>
    </row>
    <row r="14" spans="1:10" ht="15.75" customHeight="1" x14ac:dyDescent="0.35">
      <c r="A14" s="2" t="s">
        <v>48</v>
      </c>
      <c r="B14" s="2" t="str">
        <f>TEXT(Table_1[[#This Row],[Date]],"mmmm")</f>
        <v>September</v>
      </c>
      <c r="C14" s="3">
        <v>46275</v>
      </c>
      <c r="D14" s="2" t="s">
        <v>39</v>
      </c>
      <c r="E14" s="2" t="s">
        <v>26</v>
      </c>
      <c r="F14" s="2" t="s">
        <v>18</v>
      </c>
      <c r="G14" s="2" t="s">
        <v>27</v>
      </c>
      <c r="H14" s="2" t="s">
        <v>23</v>
      </c>
      <c r="I14" s="4">
        <v>2</v>
      </c>
      <c r="J14" s="2"/>
    </row>
    <row r="15" spans="1:10" ht="15.75" customHeight="1" x14ac:dyDescent="0.35">
      <c r="A15" s="2" t="s">
        <v>49</v>
      </c>
      <c r="B15" s="2" t="str">
        <f>TEXT(Table_1[[#This Row],[Date]],"mmmm")</f>
        <v>August</v>
      </c>
      <c r="C15" s="5">
        <v>46237</v>
      </c>
      <c r="D15" s="2" t="s">
        <v>50</v>
      </c>
      <c r="E15" s="2" t="s">
        <v>26</v>
      </c>
      <c r="F15" s="2" t="s">
        <v>45</v>
      </c>
      <c r="G15" s="2" t="s">
        <v>27</v>
      </c>
      <c r="H15" s="2" t="s">
        <v>14</v>
      </c>
      <c r="I15" s="4">
        <v>19</v>
      </c>
      <c r="J15" s="4">
        <v>3</v>
      </c>
    </row>
    <row r="16" spans="1:10" ht="15.75" customHeight="1" x14ac:dyDescent="0.35">
      <c r="A16" s="2" t="s">
        <v>51</v>
      </c>
      <c r="B16" s="2" t="str">
        <f>TEXT(Table_1[[#This Row],[Date]],"mmmm")</f>
        <v>September</v>
      </c>
      <c r="C16" s="3">
        <v>46276</v>
      </c>
      <c r="D16" s="2" t="s">
        <v>52</v>
      </c>
      <c r="E16" s="2" t="s">
        <v>11</v>
      </c>
      <c r="F16" s="2" t="s">
        <v>42</v>
      </c>
      <c r="G16" s="2" t="s">
        <v>27</v>
      </c>
      <c r="H16" s="2" t="s">
        <v>33</v>
      </c>
      <c r="I16" s="4">
        <v>15</v>
      </c>
      <c r="J16" s="2"/>
    </row>
    <row r="17" spans="1:10" ht="15.75" customHeight="1" x14ac:dyDescent="0.35">
      <c r="A17" s="2" t="s">
        <v>53</v>
      </c>
      <c r="B17" s="2" t="str">
        <f>TEXT(Table_1[[#This Row],[Date]],"mmmm")</f>
        <v>August</v>
      </c>
      <c r="C17" s="3">
        <v>46251</v>
      </c>
      <c r="D17" s="2" t="s">
        <v>54</v>
      </c>
      <c r="E17" s="2" t="s">
        <v>11</v>
      </c>
      <c r="F17" s="2" t="s">
        <v>22</v>
      </c>
      <c r="G17" s="2" t="s">
        <v>13</v>
      </c>
      <c r="H17" s="2" t="s">
        <v>23</v>
      </c>
      <c r="I17" s="4">
        <v>9</v>
      </c>
      <c r="J17" s="2"/>
    </row>
    <row r="18" spans="1:10" ht="14.5" x14ac:dyDescent="0.35">
      <c r="A18" s="2" t="s">
        <v>55</v>
      </c>
      <c r="B18" s="2" t="str">
        <f>TEXT(Table_1[[#This Row],[Date]],"mmmm")</f>
        <v>August</v>
      </c>
      <c r="C18" s="3">
        <v>46262</v>
      </c>
      <c r="D18" s="2" t="s">
        <v>56</v>
      </c>
      <c r="E18" s="2" t="s">
        <v>11</v>
      </c>
      <c r="F18" s="2" t="s">
        <v>57</v>
      </c>
      <c r="G18" s="2" t="s">
        <v>27</v>
      </c>
      <c r="H18" s="2" t="s">
        <v>14</v>
      </c>
      <c r="I18" s="4">
        <v>5</v>
      </c>
      <c r="J18" s="4">
        <v>5</v>
      </c>
    </row>
    <row r="19" spans="1:10" ht="14.5" x14ac:dyDescent="0.35">
      <c r="A19" s="2" t="s">
        <v>58</v>
      </c>
      <c r="B19" s="2" t="str">
        <f>TEXT(Table_1[[#This Row],[Date]],"mmmm")</f>
        <v>August</v>
      </c>
      <c r="C19" s="5">
        <v>46240</v>
      </c>
      <c r="D19" s="2" t="s">
        <v>59</v>
      </c>
      <c r="E19" s="2" t="s">
        <v>11</v>
      </c>
      <c r="F19" s="2" t="s">
        <v>12</v>
      </c>
      <c r="G19" s="2" t="s">
        <v>19</v>
      </c>
      <c r="H19" s="2" t="s">
        <v>14</v>
      </c>
      <c r="I19" s="4">
        <v>6</v>
      </c>
      <c r="J19" s="4">
        <v>4</v>
      </c>
    </row>
    <row r="20" spans="1:10" ht="14.5" x14ac:dyDescent="0.35">
      <c r="A20" s="2" t="s">
        <v>60</v>
      </c>
      <c r="B20" s="2" t="str">
        <f>TEXT(Table_1[[#This Row],[Date]],"mmmm")</f>
        <v>August</v>
      </c>
      <c r="C20" s="5">
        <v>46239</v>
      </c>
      <c r="D20" s="2" t="s">
        <v>61</v>
      </c>
      <c r="E20" s="2" t="s">
        <v>17</v>
      </c>
      <c r="F20" s="2" t="s">
        <v>42</v>
      </c>
      <c r="G20" s="2" t="s">
        <v>27</v>
      </c>
      <c r="H20" s="2" t="s">
        <v>32</v>
      </c>
      <c r="I20" s="4">
        <v>17</v>
      </c>
      <c r="J20" s="2"/>
    </row>
    <row r="21" spans="1:10" ht="14.5" x14ac:dyDescent="0.35">
      <c r="A21" s="2" t="s">
        <v>62</v>
      </c>
      <c r="B21" s="2" t="str">
        <f>TEXT(Table_1[[#This Row],[Date]],"mmmm")</f>
        <v>September</v>
      </c>
      <c r="C21" s="5">
        <v>46270</v>
      </c>
      <c r="D21" s="2" t="s">
        <v>29</v>
      </c>
      <c r="E21" s="2" t="s">
        <v>26</v>
      </c>
      <c r="F21" s="2" t="s">
        <v>12</v>
      </c>
      <c r="G21" s="2" t="s">
        <v>27</v>
      </c>
      <c r="H21" s="2" t="s">
        <v>14</v>
      </c>
      <c r="I21" s="4">
        <v>18</v>
      </c>
      <c r="J21" s="4">
        <v>3</v>
      </c>
    </row>
    <row r="22" spans="1:10" ht="14.5" x14ac:dyDescent="0.35">
      <c r="A22" s="2" t="s">
        <v>63</v>
      </c>
      <c r="B22" s="2" t="str">
        <f>TEXT(Table_1[[#This Row],[Date]],"mmmm")</f>
        <v>August</v>
      </c>
      <c r="C22" s="5">
        <v>46242</v>
      </c>
      <c r="D22" s="2" t="s">
        <v>64</v>
      </c>
      <c r="E22" s="2" t="s">
        <v>26</v>
      </c>
      <c r="F22" s="2" t="s">
        <v>45</v>
      </c>
      <c r="G22" s="2" t="s">
        <v>27</v>
      </c>
      <c r="H22" s="2" t="s">
        <v>14</v>
      </c>
      <c r="I22" s="4">
        <v>24</v>
      </c>
      <c r="J22" s="4">
        <v>3</v>
      </c>
    </row>
    <row r="23" spans="1:10" ht="14.5" x14ac:dyDescent="0.35">
      <c r="A23" s="2" t="s">
        <v>65</v>
      </c>
      <c r="B23" s="2" t="str">
        <f>TEXT(Table_1[[#This Row],[Date]],"mmmm")</f>
        <v>August</v>
      </c>
      <c r="C23" s="3">
        <v>46246</v>
      </c>
      <c r="D23" s="2" t="s">
        <v>64</v>
      </c>
      <c r="E23" s="2" t="s">
        <v>17</v>
      </c>
      <c r="F23" s="2" t="s">
        <v>57</v>
      </c>
      <c r="G23" s="2" t="s">
        <v>19</v>
      </c>
      <c r="H23" s="2" t="s">
        <v>33</v>
      </c>
      <c r="I23" s="4">
        <v>10</v>
      </c>
      <c r="J23" s="2"/>
    </row>
    <row r="24" spans="1:10" ht="14.5" x14ac:dyDescent="0.35">
      <c r="A24" s="2" t="s">
        <v>66</v>
      </c>
      <c r="B24" s="2" t="str">
        <f>TEXT(Table_1[[#This Row],[Date]],"mmmm")</f>
        <v>September</v>
      </c>
      <c r="C24" s="5">
        <v>46273</v>
      </c>
      <c r="D24" s="2" t="s">
        <v>67</v>
      </c>
      <c r="E24" s="2" t="s">
        <v>17</v>
      </c>
      <c r="F24" s="2" t="s">
        <v>22</v>
      </c>
      <c r="G24" s="2" t="s">
        <v>13</v>
      </c>
      <c r="H24" s="2" t="s">
        <v>33</v>
      </c>
      <c r="I24" s="4">
        <v>18</v>
      </c>
      <c r="J24" s="2"/>
    </row>
    <row r="25" spans="1:10" ht="14.5" x14ac:dyDescent="0.35">
      <c r="A25" s="2" t="s">
        <v>68</v>
      </c>
      <c r="B25" s="2" t="str">
        <f>TEXT(Table_1[[#This Row],[Date]],"mmmm")</f>
        <v>August</v>
      </c>
      <c r="C25" s="5">
        <v>46235</v>
      </c>
      <c r="D25" s="2" t="s">
        <v>69</v>
      </c>
      <c r="E25" s="2" t="s">
        <v>17</v>
      </c>
      <c r="F25" s="2" t="s">
        <v>57</v>
      </c>
      <c r="G25" s="2" t="s">
        <v>27</v>
      </c>
      <c r="H25" s="2" t="s">
        <v>14</v>
      </c>
      <c r="I25" s="4">
        <v>12</v>
      </c>
      <c r="J25" s="4">
        <v>3</v>
      </c>
    </row>
    <row r="26" spans="1:10" ht="14.5" x14ac:dyDescent="0.35">
      <c r="A26" s="2" t="s">
        <v>70</v>
      </c>
      <c r="B26" s="2" t="str">
        <f>TEXT(Table_1[[#This Row],[Date]],"mmmm")</f>
        <v>August</v>
      </c>
      <c r="C26" s="5">
        <v>46238</v>
      </c>
      <c r="D26" s="2" t="s">
        <v>71</v>
      </c>
      <c r="E26" s="2" t="s">
        <v>17</v>
      </c>
      <c r="F26" s="2" t="s">
        <v>22</v>
      </c>
      <c r="G26" s="2" t="s">
        <v>19</v>
      </c>
      <c r="H26" s="2" t="s">
        <v>32</v>
      </c>
      <c r="I26" s="4">
        <v>3</v>
      </c>
      <c r="J26" s="2"/>
    </row>
    <row r="27" spans="1:10" ht="14.5" x14ac:dyDescent="0.35">
      <c r="A27" s="2" t="s">
        <v>72</v>
      </c>
      <c r="B27" s="2" t="str">
        <f>TEXT(Table_1[[#This Row],[Date]],"mmmm")</f>
        <v>August</v>
      </c>
      <c r="C27" s="5">
        <v>46239</v>
      </c>
      <c r="D27" s="2" t="s">
        <v>73</v>
      </c>
      <c r="E27" s="2" t="s">
        <v>17</v>
      </c>
      <c r="F27" s="2" t="s">
        <v>57</v>
      </c>
      <c r="G27" s="2" t="s">
        <v>19</v>
      </c>
      <c r="H27" s="2" t="s">
        <v>14</v>
      </c>
      <c r="I27" s="4">
        <v>16</v>
      </c>
      <c r="J27" s="4">
        <v>5</v>
      </c>
    </row>
    <row r="28" spans="1:10" ht="14.5" x14ac:dyDescent="0.35">
      <c r="A28" s="2" t="s">
        <v>74</v>
      </c>
      <c r="B28" s="2" t="str">
        <f>TEXT(Table_1[[#This Row],[Date]],"mmmm")</f>
        <v>August</v>
      </c>
      <c r="C28" s="3">
        <v>46251</v>
      </c>
      <c r="D28" s="2" t="s">
        <v>21</v>
      </c>
      <c r="E28" s="2" t="s">
        <v>17</v>
      </c>
      <c r="F28" s="2" t="s">
        <v>57</v>
      </c>
      <c r="G28" s="2" t="s">
        <v>19</v>
      </c>
      <c r="H28" s="2" t="s">
        <v>14</v>
      </c>
      <c r="I28" s="4">
        <v>7</v>
      </c>
      <c r="J28" s="4">
        <v>5</v>
      </c>
    </row>
    <row r="29" spans="1:10" ht="14.5" x14ac:dyDescent="0.35">
      <c r="A29" s="2" t="s">
        <v>75</v>
      </c>
      <c r="B29" s="2" t="str">
        <f>TEXT(Table_1[[#This Row],[Date]],"mmmm")</f>
        <v>September</v>
      </c>
      <c r="C29" s="3">
        <v>46280</v>
      </c>
      <c r="D29" s="2" t="s">
        <v>76</v>
      </c>
      <c r="E29" s="2" t="s">
        <v>17</v>
      </c>
      <c r="F29" s="2" t="s">
        <v>45</v>
      </c>
      <c r="G29" s="2" t="s">
        <v>27</v>
      </c>
      <c r="H29" s="2" t="s">
        <v>23</v>
      </c>
      <c r="I29" s="4">
        <v>12</v>
      </c>
      <c r="J29" s="2"/>
    </row>
    <row r="30" spans="1:10" ht="14.5" x14ac:dyDescent="0.35">
      <c r="A30" s="2" t="s">
        <v>77</v>
      </c>
      <c r="B30" s="2" t="str">
        <f>TEXT(Table_1[[#This Row],[Date]],"mmmm")</f>
        <v>September</v>
      </c>
      <c r="C30" s="5">
        <v>46268</v>
      </c>
      <c r="D30" s="2" t="s">
        <v>78</v>
      </c>
      <c r="E30" s="2" t="s">
        <v>26</v>
      </c>
      <c r="F30" s="2" t="s">
        <v>42</v>
      </c>
      <c r="G30" s="2" t="s">
        <v>13</v>
      </c>
      <c r="H30" s="2" t="s">
        <v>14</v>
      </c>
      <c r="I30" s="4">
        <v>11</v>
      </c>
      <c r="J30" s="4">
        <v>1</v>
      </c>
    </row>
    <row r="31" spans="1:10" ht="14.5" x14ac:dyDescent="0.35">
      <c r="A31" s="2" t="s">
        <v>79</v>
      </c>
      <c r="B31" s="2" t="str">
        <f>TEXT(Table_1[[#This Row],[Date]],"mmmm")</f>
        <v>September</v>
      </c>
      <c r="C31" s="5">
        <v>46270</v>
      </c>
      <c r="D31" s="2" t="s">
        <v>39</v>
      </c>
      <c r="E31" s="2" t="s">
        <v>11</v>
      </c>
      <c r="F31" s="2" t="s">
        <v>22</v>
      </c>
      <c r="G31" s="2" t="s">
        <v>27</v>
      </c>
      <c r="H31" s="2" t="s">
        <v>14</v>
      </c>
      <c r="I31" s="4">
        <v>23</v>
      </c>
      <c r="J31" s="4">
        <v>1</v>
      </c>
    </row>
    <row r="32" spans="1:10" ht="14.5" x14ac:dyDescent="0.35">
      <c r="A32" s="2" t="s">
        <v>80</v>
      </c>
      <c r="B32" s="2" t="str">
        <f>TEXT(Table_1[[#This Row],[Date]],"mmmm")</f>
        <v>August</v>
      </c>
      <c r="C32" s="5">
        <v>46239</v>
      </c>
      <c r="D32" s="2" t="s">
        <v>71</v>
      </c>
      <c r="E32" s="2" t="s">
        <v>26</v>
      </c>
      <c r="F32" s="2" t="s">
        <v>12</v>
      </c>
      <c r="G32" s="2" t="s">
        <v>19</v>
      </c>
      <c r="H32" s="2" t="s">
        <v>14</v>
      </c>
      <c r="I32" s="4">
        <v>8</v>
      </c>
      <c r="J32" s="4">
        <v>3</v>
      </c>
    </row>
    <row r="33" spans="1:10" ht="14.5" x14ac:dyDescent="0.35">
      <c r="A33" s="2" t="s">
        <v>81</v>
      </c>
      <c r="B33" s="2" t="str">
        <f>TEXT(Table_1[[#This Row],[Date]],"mmmm")</f>
        <v>August</v>
      </c>
      <c r="C33" s="3">
        <v>46248</v>
      </c>
      <c r="D33" s="2" t="s">
        <v>82</v>
      </c>
      <c r="E33" s="2" t="s">
        <v>26</v>
      </c>
      <c r="F33" s="2" t="s">
        <v>57</v>
      </c>
      <c r="G33" s="2" t="s">
        <v>13</v>
      </c>
      <c r="H33" s="2" t="s">
        <v>32</v>
      </c>
      <c r="I33" s="4">
        <v>19</v>
      </c>
      <c r="J33" s="2"/>
    </row>
    <row r="34" spans="1:10" ht="14.5" x14ac:dyDescent="0.35">
      <c r="A34" s="2" t="s">
        <v>83</v>
      </c>
      <c r="B34" s="2" t="str">
        <f>TEXT(Table_1[[#This Row],[Date]],"mmmm")</f>
        <v>August</v>
      </c>
      <c r="C34" s="3">
        <v>46265</v>
      </c>
      <c r="D34" s="2" t="s">
        <v>84</v>
      </c>
      <c r="E34" s="2" t="s">
        <v>26</v>
      </c>
      <c r="F34" s="2" t="s">
        <v>22</v>
      </c>
      <c r="G34" s="2" t="s">
        <v>19</v>
      </c>
      <c r="H34" s="2" t="s">
        <v>33</v>
      </c>
      <c r="I34" s="4">
        <v>7</v>
      </c>
      <c r="J34" s="2"/>
    </row>
    <row r="35" spans="1:10" ht="14.5" x14ac:dyDescent="0.35">
      <c r="A35" s="2" t="s">
        <v>85</v>
      </c>
      <c r="B35" s="2" t="str">
        <f>TEXT(Table_1[[#This Row],[Date]],"mmmm")</f>
        <v>August</v>
      </c>
      <c r="C35" s="5">
        <v>46241</v>
      </c>
      <c r="D35" s="2" t="s">
        <v>84</v>
      </c>
      <c r="E35" s="2" t="s">
        <v>26</v>
      </c>
      <c r="F35" s="2" t="s">
        <v>18</v>
      </c>
      <c r="G35" s="2" t="s">
        <v>27</v>
      </c>
      <c r="H35" s="2" t="s">
        <v>14</v>
      </c>
      <c r="I35" s="4">
        <v>15</v>
      </c>
      <c r="J35" s="4">
        <v>1</v>
      </c>
    </row>
    <row r="36" spans="1:10" ht="14.5" x14ac:dyDescent="0.35">
      <c r="A36" s="2" t="s">
        <v>86</v>
      </c>
      <c r="B36" s="2" t="str">
        <f>TEXT(Table_1[[#This Row],[Date]],"mmmm")</f>
        <v>August</v>
      </c>
      <c r="C36" s="5">
        <v>46238</v>
      </c>
      <c r="D36" s="2" t="s">
        <v>87</v>
      </c>
      <c r="E36" s="2" t="s">
        <v>26</v>
      </c>
      <c r="F36" s="2" t="s">
        <v>42</v>
      </c>
      <c r="G36" s="2" t="s">
        <v>27</v>
      </c>
      <c r="H36" s="2" t="s">
        <v>33</v>
      </c>
      <c r="I36" s="4">
        <v>4</v>
      </c>
      <c r="J36" s="2"/>
    </row>
    <row r="37" spans="1:10" ht="14.5" x14ac:dyDescent="0.35">
      <c r="A37" s="2" t="s">
        <v>88</v>
      </c>
      <c r="B37" s="2" t="str">
        <f>TEXT(Table_1[[#This Row],[Date]],"mmmm")</f>
        <v>August</v>
      </c>
      <c r="C37" s="3">
        <v>46247</v>
      </c>
      <c r="D37" s="2" t="s">
        <v>89</v>
      </c>
      <c r="E37" s="2" t="s">
        <v>26</v>
      </c>
      <c r="F37" s="2" t="s">
        <v>22</v>
      </c>
      <c r="G37" s="2" t="s">
        <v>27</v>
      </c>
      <c r="H37" s="2" t="s">
        <v>14</v>
      </c>
      <c r="I37" s="4">
        <v>6</v>
      </c>
      <c r="J37" s="4">
        <v>3</v>
      </c>
    </row>
    <row r="38" spans="1:10" ht="14.5" x14ac:dyDescent="0.35">
      <c r="A38" s="2" t="s">
        <v>90</v>
      </c>
      <c r="B38" s="2" t="str">
        <f>TEXT(Table_1[[#This Row],[Date]],"mmmm")</f>
        <v>August</v>
      </c>
      <c r="C38" s="3">
        <v>46250</v>
      </c>
      <c r="D38" s="2" t="s">
        <v>84</v>
      </c>
      <c r="E38" s="2" t="s">
        <v>26</v>
      </c>
      <c r="F38" s="2" t="s">
        <v>12</v>
      </c>
      <c r="G38" s="2" t="s">
        <v>27</v>
      </c>
      <c r="H38" s="2" t="s">
        <v>33</v>
      </c>
      <c r="I38" s="4">
        <v>18</v>
      </c>
      <c r="J38" s="2"/>
    </row>
    <row r="39" spans="1:10" ht="14.5" x14ac:dyDescent="0.35">
      <c r="A39" s="2" t="s">
        <v>91</v>
      </c>
      <c r="B39" s="2" t="str">
        <f>TEXT(Table_1[[#This Row],[Date]],"mmmm")</f>
        <v>August</v>
      </c>
      <c r="C39" s="5">
        <v>46238</v>
      </c>
      <c r="D39" s="2" t="s">
        <v>69</v>
      </c>
      <c r="E39" s="2" t="s">
        <v>26</v>
      </c>
      <c r="F39" s="2" t="s">
        <v>18</v>
      </c>
      <c r="G39" s="2" t="s">
        <v>19</v>
      </c>
      <c r="H39" s="2" t="s">
        <v>33</v>
      </c>
      <c r="I39" s="4">
        <v>3</v>
      </c>
      <c r="J39" s="2"/>
    </row>
    <row r="40" spans="1:10" ht="14.5" x14ac:dyDescent="0.35">
      <c r="A40" s="2" t="s">
        <v>92</v>
      </c>
      <c r="B40" s="2" t="str">
        <f>TEXT(Table_1[[#This Row],[Date]],"mmmm")</f>
        <v>August</v>
      </c>
      <c r="C40" s="3">
        <v>46245</v>
      </c>
      <c r="D40" s="2" t="s">
        <v>73</v>
      </c>
      <c r="E40" s="2" t="s">
        <v>26</v>
      </c>
      <c r="F40" s="2" t="s">
        <v>42</v>
      </c>
      <c r="G40" s="2" t="s">
        <v>27</v>
      </c>
      <c r="H40" s="2" t="s">
        <v>14</v>
      </c>
      <c r="I40" s="4">
        <v>13</v>
      </c>
      <c r="J40" s="4">
        <v>1</v>
      </c>
    </row>
    <row r="41" spans="1:10" ht="14.5" x14ac:dyDescent="0.35">
      <c r="A41" s="2" t="s">
        <v>93</v>
      </c>
      <c r="B41" s="2" t="str">
        <f>TEXT(Table_1[[#This Row],[Date]],"mmmm")</f>
        <v>August</v>
      </c>
      <c r="C41" s="3">
        <v>46259</v>
      </c>
      <c r="D41" s="2" t="s">
        <v>94</v>
      </c>
      <c r="E41" s="2" t="s">
        <v>26</v>
      </c>
      <c r="F41" s="2" t="s">
        <v>12</v>
      </c>
      <c r="G41" s="2" t="s">
        <v>19</v>
      </c>
      <c r="H41" s="2" t="s">
        <v>14</v>
      </c>
      <c r="I41" s="4">
        <v>15</v>
      </c>
      <c r="J41" s="4">
        <v>3</v>
      </c>
    </row>
    <row r="42" spans="1:10" ht="14.5" x14ac:dyDescent="0.35">
      <c r="A42" s="2" t="s">
        <v>95</v>
      </c>
      <c r="B42" s="2" t="str">
        <f>TEXT(Table_1[[#This Row],[Date]],"mmmm")</f>
        <v>September</v>
      </c>
      <c r="C42" s="3">
        <v>46279</v>
      </c>
      <c r="D42" s="2" t="s">
        <v>71</v>
      </c>
      <c r="E42" s="2" t="s">
        <v>17</v>
      </c>
      <c r="F42" s="2" t="s">
        <v>18</v>
      </c>
      <c r="G42" s="2" t="s">
        <v>19</v>
      </c>
      <c r="H42" s="2" t="s">
        <v>23</v>
      </c>
      <c r="I42" s="4">
        <v>23</v>
      </c>
      <c r="J42" s="2"/>
    </row>
    <row r="43" spans="1:10" ht="14.5" x14ac:dyDescent="0.35">
      <c r="A43" s="2" t="s">
        <v>96</v>
      </c>
      <c r="B43" s="2" t="str">
        <f>TEXT(Table_1[[#This Row],[Date]],"mmmm")</f>
        <v>August</v>
      </c>
      <c r="C43" s="3">
        <v>46244</v>
      </c>
      <c r="D43" s="2" t="s">
        <v>97</v>
      </c>
      <c r="E43" s="2" t="s">
        <v>11</v>
      </c>
      <c r="F43" s="2" t="s">
        <v>22</v>
      </c>
      <c r="G43" s="2" t="s">
        <v>27</v>
      </c>
      <c r="H43" s="2" t="s">
        <v>32</v>
      </c>
      <c r="I43" s="4">
        <v>19</v>
      </c>
      <c r="J43" s="2"/>
    </row>
    <row r="44" spans="1:10" ht="14.5" x14ac:dyDescent="0.35">
      <c r="A44" s="2" t="s">
        <v>98</v>
      </c>
      <c r="B44" s="2" t="str">
        <f>TEXT(Table_1[[#This Row],[Date]],"mmmm")</f>
        <v>August</v>
      </c>
      <c r="C44" s="5">
        <v>46238</v>
      </c>
      <c r="D44" s="2" t="s">
        <v>67</v>
      </c>
      <c r="E44" s="2" t="s">
        <v>26</v>
      </c>
      <c r="F44" s="2" t="s">
        <v>18</v>
      </c>
      <c r="G44" s="2" t="s">
        <v>27</v>
      </c>
      <c r="H44" s="2" t="s">
        <v>14</v>
      </c>
      <c r="I44" s="4">
        <v>16</v>
      </c>
      <c r="J44" s="4">
        <v>5</v>
      </c>
    </row>
    <row r="45" spans="1:10" ht="14.5" x14ac:dyDescent="0.35">
      <c r="A45" s="2" t="s">
        <v>99</v>
      </c>
      <c r="B45" s="2" t="str">
        <f>TEXT(Table_1[[#This Row],[Date]],"mmmm")</f>
        <v>August</v>
      </c>
      <c r="C45" s="3">
        <v>46245</v>
      </c>
      <c r="D45" s="2" t="s">
        <v>59</v>
      </c>
      <c r="E45" s="2" t="s">
        <v>11</v>
      </c>
      <c r="F45" s="2" t="s">
        <v>12</v>
      </c>
      <c r="G45" s="2" t="s">
        <v>19</v>
      </c>
      <c r="H45" s="2" t="s">
        <v>14</v>
      </c>
      <c r="I45" s="4">
        <v>6</v>
      </c>
      <c r="J45" s="4">
        <v>1</v>
      </c>
    </row>
    <row r="46" spans="1:10" ht="14.5" x14ac:dyDescent="0.35">
      <c r="A46" s="2" t="s">
        <v>100</v>
      </c>
      <c r="B46" s="2" t="str">
        <f>TEXT(Table_1[[#This Row],[Date]],"mmmm")</f>
        <v>August</v>
      </c>
      <c r="C46" s="5">
        <v>46239</v>
      </c>
      <c r="D46" s="2" t="s">
        <v>54</v>
      </c>
      <c r="E46" s="2" t="s">
        <v>11</v>
      </c>
      <c r="F46" s="2" t="s">
        <v>18</v>
      </c>
      <c r="G46" s="2" t="s">
        <v>19</v>
      </c>
      <c r="H46" s="2" t="s">
        <v>14</v>
      </c>
      <c r="I46" s="4">
        <v>19</v>
      </c>
      <c r="J46" s="4">
        <v>2</v>
      </c>
    </row>
    <row r="47" spans="1:10" ht="14.5" x14ac:dyDescent="0.35">
      <c r="A47" s="2" t="s">
        <v>101</v>
      </c>
      <c r="B47" s="2" t="str">
        <f>TEXT(Table_1[[#This Row],[Date]],"mmmm")</f>
        <v>September</v>
      </c>
      <c r="C47" s="5">
        <v>46273</v>
      </c>
      <c r="D47" s="2" t="s">
        <v>102</v>
      </c>
      <c r="E47" s="2" t="s">
        <v>11</v>
      </c>
      <c r="F47" s="2" t="s">
        <v>12</v>
      </c>
      <c r="G47" s="2" t="s">
        <v>27</v>
      </c>
      <c r="H47" s="2" t="s">
        <v>14</v>
      </c>
      <c r="I47" s="4">
        <v>19</v>
      </c>
      <c r="J47" s="4">
        <v>5</v>
      </c>
    </row>
    <row r="48" spans="1:10" ht="14.5" x14ac:dyDescent="0.35">
      <c r="A48" s="2" t="s">
        <v>103</v>
      </c>
      <c r="B48" s="2" t="str">
        <f>TEXT(Table_1[[#This Row],[Date]],"mmmm")</f>
        <v>August</v>
      </c>
      <c r="C48" s="3">
        <v>46255</v>
      </c>
      <c r="D48" s="2" t="s">
        <v>31</v>
      </c>
      <c r="E48" s="2" t="s">
        <v>11</v>
      </c>
      <c r="F48" s="2" t="s">
        <v>45</v>
      </c>
      <c r="G48" s="2" t="s">
        <v>13</v>
      </c>
      <c r="H48" s="2" t="s">
        <v>23</v>
      </c>
      <c r="I48" s="4">
        <v>8</v>
      </c>
      <c r="J48" s="2"/>
    </row>
    <row r="49" spans="1:10" ht="14.5" x14ac:dyDescent="0.35">
      <c r="A49" s="2" t="s">
        <v>104</v>
      </c>
      <c r="B49" s="2" t="str">
        <f>TEXT(Table_1[[#This Row],[Date]],"mmmm")</f>
        <v>August</v>
      </c>
      <c r="C49" s="3">
        <v>46260</v>
      </c>
      <c r="D49" s="2" t="s">
        <v>105</v>
      </c>
      <c r="E49" s="2" t="s">
        <v>11</v>
      </c>
      <c r="F49" s="2" t="s">
        <v>22</v>
      </c>
      <c r="G49" s="2" t="s">
        <v>27</v>
      </c>
      <c r="H49" s="2" t="s">
        <v>14</v>
      </c>
      <c r="I49" s="4">
        <v>11</v>
      </c>
      <c r="J49" s="4">
        <v>1</v>
      </c>
    </row>
    <row r="50" spans="1:10" ht="14.5" x14ac:dyDescent="0.35">
      <c r="A50" s="2" t="s">
        <v>106</v>
      </c>
      <c r="B50" s="2" t="str">
        <f>TEXT(Table_1[[#This Row],[Date]],"mmmm")</f>
        <v>August</v>
      </c>
      <c r="C50" s="3">
        <v>46264</v>
      </c>
      <c r="D50" s="2" t="s">
        <v>107</v>
      </c>
      <c r="E50" s="2" t="s">
        <v>11</v>
      </c>
      <c r="F50" s="2" t="s">
        <v>57</v>
      </c>
      <c r="G50" s="2" t="s">
        <v>19</v>
      </c>
      <c r="H50" s="2" t="s">
        <v>32</v>
      </c>
      <c r="I50" s="4">
        <v>3</v>
      </c>
      <c r="J50" s="2"/>
    </row>
    <row r="51" spans="1:10" ht="14.5" x14ac:dyDescent="0.35">
      <c r="A51" s="2" t="s">
        <v>108</v>
      </c>
      <c r="B51" s="2" t="str">
        <f>TEXT(Table_1[[#This Row],[Date]],"mmmm")</f>
        <v>August</v>
      </c>
      <c r="C51" s="3">
        <v>46248</v>
      </c>
      <c r="D51" s="2" t="s">
        <v>87</v>
      </c>
      <c r="E51" s="2" t="s">
        <v>11</v>
      </c>
      <c r="F51" s="2" t="s">
        <v>57</v>
      </c>
      <c r="G51" s="2" t="s">
        <v>27</v>
      </c>
      <c r="H51" s="2" t="s">
        <v>32</v>
      </c>
      <c r="I51" s="4">
        <v>3</v>
      </c>
      <c r="J51" s="2"/>
    </row>
    <row r="52" spans="1:10" ht="14.5" x14ac:dyDescent="0.35">
      <c r="A52" s="2" t="s">
        <v>109</v>
      </c>
      <c r="B52" s="2" t="str">
        <f>TEXT(Table_1[[#This Row],[Date]],"mmmm")</f>
        <v>August</v>
      </c>
      <c r="C52" s="3">
        <v>46258</v>
      </c>
      <c r="D52" s="2" t="s">
        <v>110</v>
      </c>
      <c r="E52" s="2" t="s">
        <v>11</v>
      </c>
      <c r="F52" s="2" t="s">
        <v>45</v>
      </c>
      <c r="G52" s="2" t="s">
        <v>13</v>
      </c>
      <c r="H52" s="2" t="s">
        <v>33</v>
      </c>
      <c r="I52" s="4">
        <v>23</v>
      </c>
      <c r="J52" s="2"/>
    </row>
    <row r="53" spans="1:10" ht="14.5" x14ac:dyDescent="0.35">
      <c r="A53" s="2" t="s">
        <v>111</v>
      </c>
      <c r="B53" s="2" t="str">
        <f>TEXT(Table_1[[#This Row],[Date]],"mmmm")</f>
        <v>September</v>
      </c>
      <c r="C53" s="5">
        <v>46274</v>
      </c>
      <c r="D53" s="2" t="s">
        <v>110</v>
      </c>
      <c r="E53" s="2" t="s">
        <v>11</v>
      </c>
      <c r="F53" s="2" t="s">
        <v>18</v>
      </c>
      <c r="G53" s="2" t="s">
        <v>27</v>
      </c>
      <c r="H53" s="2" t="s">
        <v>23</v>
      </c>
      <c r="I53" s="4">
        <v>18</v>
      </c>
      <c r="J53" s="2"/>
    </row>
    <row r="54" spans="1:10" ht="14.5" x14ac:dyDescent="0.35">
      <c r="A54" s="2" t="s">
        <v>112</v>
      </c>
      <c r="B54" s="2" t="str">
        <f>TEXT(Table_1[[#This Row],[Date]],"mmmm")</f>
        <v>September</v>
      </c>
      <c r="C54" s="3">
        <v>46277</v>
      </c>
      <c r="D54" s="2" t="s">
        <v>35</v>
      </c>
      <c r="E54" s="2" t="s">
        <v>11</v>
      </c>
      <c r="F54" s="2" t="s">
        <v>12</v>
      </c>
      <c r="G54" s="2" t="s">
        <v>19</v>
      </c>
      <c r="H54" s="2" t="s">
        <v>14</v>
      </c>
      <c r="I54" s="4">
        <v>4</v>
      </c>
      <c r="J54" s="4">
        <v>1</v>
      </c>
    </row>
    <row r="55" spans="1:10" ht="14.5" x14ac:dyDescent="0.35">
      <c r="A55" s="2" t="s">
        <v>113</v>
      </c>
      <c r="B55" s="2" t="str">
        <f>TEXT(Table_1[[#This Row],[Date]],"mmmm")</f>
        <v>August</v>
      </c>
      <c r="C55" s="3">
        <v>46244</v>
      </c>
      <c r="D55" s="2" t="s">
        <v>31</v>
      </c>
      <c r="E55" s="2" t="s">
        <v>11</v>
      </c>
      <c r="F55" s="2" t="s">
        <v>45</v>
      </c>
      <c r="G55" s="2" t="s">
        <v>27</v>
      </c>
      <c r="H55" s="2" t="s">
        <v>14</v>
      </c>
      <c r="I55" s="4">
        <v>11</v>
      </c>
      <c r="J55" s="4">
        <v>2</v>
      </c>
    </row>
    <row r="56" spans="1:10" ht="14.5" x14ac:dyDescent="0.35">
      <c r="A56" s="2" t="s">
        <v>114</v>
      </c>
      <c r="B56" s="2" t="str">
        <f>TEXT(Table_1[[#This Row],[Date]],"mmmm")</f>
        <v>September</v>
      </c>
      <c r="C56" s="5">
        <v>46267</v>
      </c>
      <c r="D56" s="2" t="s">
        <v>115</v>
      </c>
      <c r="E56" s="2" t="s">
        <v>11</v>
      </c>
      <c r="F56" s="2" t="s">
        <v>42</v>
      </c>
      <c r="G56" s="2" t="s">
        <v>27</v>
      </c>
      <c r="H56" s="2" t="s">
        <v>33</v>
      </c>
      <c r="I56" s="4">
        <v>2</v>
      </c>
      <c r="J56" s="2"/>
    </row>
    <row r="57" spans="1:10" ht="14.5" x14ac:dyDescent="0.35">
      <c r="A57" s="2" t="s">
        <v>116</v>
      </c>
      <c r="B57" s="2" t="str">
        <f>TEXT(Table_1[[#This Row],[Date]],"mmmm")</f>
        <v>September</v>
      </c>
      <c r="C57" s="3">
        <v>46275</v>
      </c>
      <c r="D57" s="2" t="s">
        <v>31</v>
      </c>
      <c r="E57" s="2" t="s">
        <v>17</v>
      </c>
      <c r="F57" s="2" t="s">
        <v>42</v>
      </c>
      <c r="G57" s="2" t="s">
        <v>19</v>
      </c>
      <c r="H57" s="2" t="s">
        <v>14</v>
      </c>
      <c r="I57" s="4">
        <v>11</v>
      </c>
      <c r="J57" s="4">
        <v>2</v>
      </c>
    </row>
    <row r="58" spans="1:10" ht="14.5" x14ac:dyDescent="0.35">
      <c r="A58" s="2" t="s">
        <v>117</v>
      </c>
      <c r="B58" s="2" t="str">
        <f>TEXT(Table_1[[#This Row],[Date]],"mmmm")</f>
        <v>August</v>
      </c>
      <c r="C58" s="3">
        <v>46245</v>
      </c>
      <c r="D58" s="2" t="s">
        <v>105</v>
      </c>
      <c r="E58" s="2" t="s">
        <v>26</v>
      </c>
      <c r="F58" s="2" t="s">
        <v>18</v>
      </c>
      <c r="G58" s="2" t="s">
        <v>27</v>
      </c>
      <c r="H58" s="2" t="s">
        <v>23</v>
      </c>
      <c r="I58" s="4">
        <v>18</v>
      </c>
      <c r="J58" s="2"/>
    </row>
    <row r="59" spans="1:10" ht="14.5" x14ac:dyDescent="0.35">
      <c r="A59" s="2" t="s">
        <v>118</v>
      </c>
      <c r="B59" s="2" t="str">
        <f>TEXT(Table_1[[#This Row],[Date]],"mmmm")</f>
        <v>August</v>
      </c>
      <c r="C59" s="5">
        <v>46242</v>
      </c>
      <c r="D59" s="2" t="s">
        <v>97</v>
      </c>
      <c r="E59" s="2" t="s">
        <v>26</v>
      </c>
      <c r="F59" s="2" t="s">
        <v>12</v>
      </c>
      <c r="G59" s="2" t="s">
        <v>19</v>
      </c>
      <c r="H59" s="2" t="s">
        <v>23</v>
      </c>
      <c r="I59" s="4">
        <v>5</v>
      </c>
      <c r="J59" s="2"/>
    </row>
    <row r="60" spans="1:10" ht="14.5" x14ac:dyDescent="0.35">
      <c r="A60" s="2" t="s">
        <v>119</v>
      </c>
      <c r="B60" s="2" t="str">
        <f>TEXT(Table_1[[#This Row],[Date]],"mmmm")</f>
        <v>August</v>
      </c>
      <c r="C60" s="5">
        <v>46237</v>
      </c>
      <c r="D60" s="2" t="s">
        <v>120</v>
      </c>
      <c r="E60" s="2" t="s">
        <v>17</v>
      </c>
      <c r="F60" s="2" t="s">
        <v>45</v>
      </c>
      <c r="G60" s="2" t="s">
        <v>27</v>
      </c>
      <c r="H60" s="2" t="s">
        <v>14</v>
      </c>
      <c r="I60" s="4">
        <v>5</v>
      </c>
      <c r="J60" s="4">
        <v>1</v>
      </c>
    </row>
    <row r="61" spans="1:10" ht="14.5" x14ac:dyDescent="0.35">
      <c r="A61" s="2" t="s">
        <v>121</v>
      </c>
      <c r="B61" s="2" t="str">
        <f>TEXT(Table_1[[#This Row],[Date]],"mmmm")</f>
        <v>August</v>
      </c>
      <c r="C61" s="3">
        <v>46258</v>
      </c>
      <c r="D61" s="2" t="s">
        <v>122</v>
      </c>
      <c r="E61" s="2" t="s">
        <v>11</v>
      </c>
      <c r="F61" s="2" t="s">
        <v>12</v>
      </c>
      <c r="G61" s="2" t="s">
        <v>19</v>
      </c>
      <c r="H61" s="2" t="s">
        <v>14</v>
      </c>
      <c r="I61" s="4">
        <v>8</v>
      </c>
      <c r="J61" s="4">
        <v>1</v>
      </c>
    </row>
    <row r="62" spans="1:10" ht="14.5" x14ac:dyDescent="0.35">
      <c r="A62" s="2" t="s">
        <v>123</v>
      </c>
      <c r="B62" s="2" t="str">
        <f>TEXT(Table_1[[#This Row],[Date]],"mmmm")</f>
        <v>September</v>
      </c>
      <c r="C62" s="5">
        <v>46270</v>
      </c>
      <c r="D62" s="2" t="s">
        <v>41</v>
      </c>
      <c r="E62" s="2" t="s">
        <v>17</v>
      </c>
      <c r="F62" s="2" t="s">
        <v>42</v>
      </c>
      <c r="G62" s="2" t="s">
        <v>19</v>
      </c>
      <c r="H62" s="2" t="s">
        <v>23</v>
      </c>
      <c r="I62" s="4">
        <v>8</v>
      </c>
      <c r="J62" s="2"/>
    </row>
    <row r="63" spans="1:10" ht="14.5" x14ac:dyDescent="0.35">
      <c r="A63" s="2" t="s">
        <v>124</v>
      </c>
      <c r="B63" s="2" t="str">
        <f>TEXT(Table_1[[#This Row],[Date]],"mmmm")</f>
        <v>August</v>
      </c>
      <c r="C63" s="3">
        <v>46246</v>
      </c>
      <c r="D63" s="2" t="s">
        <v>125</v>
      </c>
      <c r="E63" s="2" t="s">
        <v>17</v>
      </c>
      <c r="F63" s="2" t="s">
        <v>42</v>
      </c>
      <c r="G63" s="2" t="s">
        <v>13</v>
      </c>
      <c r="H63" s="2" t="s">
        <v>23</v>
      </c>
      <c r="I63" s="4">
        <v>11</v>
      </c>
      <c r="J63" s="2"/>
    </row>
    <row r="64" spans="1:10" ht="14.5" x14ac:dyDescent="0.35">
      <c r="A64" s="2" t="s">
        <v>126</v>
      </c>
      <c r="B64" s="2" t="str">
        <f>TEXT(Table_1[[#This Row],[Date]],"mmmm")</f>
        <v>September</v>
      </c>
      <c r="C64" s="3">
        <v>46277</v>
      </c>
      <c r="D64" s="2" t="s">
        <v>127</v>
      </c>
      <c r="E64" s="2" t="s">
        <v>17</v>
      </c>
      <c r="F64" s="2" t="s">
        <v>18</v>
      </c>
      <c r="G64" s="2" t="s">
        <v>19</v>
      </c>
      <c r="H64" s="2" t="s">
        <v>14</v>
      </c>
      <c r="I64" s="4">
        <v>23</v>
      </c>
      <c r="J64" s="4">
        <v>1</v>
      </c>
    </row>
    <row r="65" spans="1:10" ht="14.5" x14ac:dyDescent="0.35">
      <c r="A65" s="2" t="s">
        <v>128</v>
      </c>
      <c r="B65" s="2" t="str">
        <f>TEXT(Table_1[[#This Row],[Date]],"mmmm")</f>
        <v>August</v>
      </c>
      <c r="C65" s="5">
        <v>46237</v>
      </c>
      <c r="D65" s="2" t="s">
        <v>129</v>
      </c>
      <c r="E65" s="2" t="s">
        <v>17</v>
      </c>
      <c r="F65" s="2" t="s">
        <v>42</v>
      </c>
      <c r="G65" s="2" t="s">
        <v>13</v>
      </c>
      <c r="H65" s="2" t="s">
        <v>33</v>
      </c>
      <c r="I65" s="4">
        <v>15</v>
      </c>
      <c r="J65" s="2"/>
    </row>
    <row r="66" spans="1:10" ht="14.5" x14ac:dyDescent="0.35">
      <c r="A66" s="2" t="s">
        <v>130</v>
      </c>
      <c r="B66" s="2" t="str">
        <f>TEXT(Table_1[[#This Row],[Date]],"mmmm")</f>
        <v>August</v>
      </c>
      <c r="C66" s="3">
        <v>46254</v>
      </c>
      <c r="D66" s="2" t="s">
        <v>131</v>
      </c>
      <c r="E66" s="2" t="s">
        <v>17</v>
      </c>
      <c r="F66" s="2" t="s">
        <v>22</v>
      </c>
      <c r="G66" s="2" t="s">
        <v>13</v>
      </c>
      <c r="H66" s="2" t="s">
        <v>23</v>
      </c>
      <c r="I66" s="4">
        <v>13</v>
      </c>
      <c r="J66" s="2"/>
    </row>
    <row r="67" spans="1:10" ht="14.5" x14ac:dyDescent="0.35">
      <c r="A67" s="2" t="s">
        <v>132</v>
      </c>
      <c r="B67" s="2" t="str">
        <f>TEXT(Table_1[[#This Row],[Date]],"mmmm")</f>
        <v>August</v>
      </c>
      <c r="C67" s="3">
        <v>46252</v>
      </c>
      <c r="D67" s="2" t="s">
        <v>133</v>
      </c>
      <c r="E67" s="2" t="s">
        <v>26</v>
      </c>
      <c r="F67" s="2" t="s">
        <v>12</v>
      </c>
      <c r="G67" s="2" t="s">
        <v>19</v>
      </c>
      <c r="H67" s="2" t="s">
        <v>14</v>
      </c>
      <c r="I67" s="4">
        <v>21</v>
      </c>
      <c r="J67" s="4">
        <v>5</v>
      </c>
    </row>
    <row r="68" spans="1:10" ht="14.5" x14ac:dyDescent="0.35">
      <c r="A68" s="2" t="s">
        <v>134</v>
      </c>
      <c r="B68" s="2" t="str">
        <f>TEXT(Table_1[[#This Row],[Date]],"mmmm")</f>
        <v>September</v>
      </c>
      <c r="C68" s="3">
        <v>46278</v>
      </c>
      <c r="D68" s="2" t="s">
        <v>54</v>
      </c>
      <c r="E68" s="2" t="s">
        <v>11</v>
      </c>
      <c r="F68" s="2" t="s">
        <v>57</v>
      </c>
      <c r="G68" s="2" t="s">
        <v>27</v>
      </c>
      <c r="H68" s="2" t="s">
        <v>14</v>
      </c>
      <c r="I68" s="4">
        <v>9</v>
      </c>
      <c r="J68" s="4">
        <v>2</v>
      </c>
    </row>
    <row r="69" spans="1:10" ht="14.5" x14ac:dyDescent="0.35">
      <c r="A69" s="2" t="s">
        <v>135</v>
      </c>
      <c r="B69" s="2" t="str">
        <f>TEXT(Table_1[[#This Row],[Date]],"mmmm")</f>
        <v>August</v>
      </c>
      <c r="C69" s="3">
        <v>46251</v>
      </c>
      <c r="D69" s="2" t="s">
        <v>136</v>
      </c>
      <c r="E69" s="2" t="s">
        <v>11</v>
      </c>
      <c r="F69" s="2" t="s">
        <v>12</v>
      </c>
      <c r="G69" s="2" t="s">
        <v>13</v>
      </c>
      <c r="H69" s="2" t="s">
        <v>14</v>
      </c>
      <c r="I69" s="4">
        <v>24</v>
      </c>
      <c r="J69" s="4">
        <v>3</v>
      </c>
    </row>
    <row r="70" spans="1:10" ht="14.5" x14ac:dyDescent="0.35">
      <c r="A70" s="2" t="s">
        <v>137</v>
      </c>
      <c r="B70" s="2" t="str">
        <f>TEXT(Table_1[[#This Row],[Date]],"mmmm")</f>
        <v>September</v>
      </c>
      <c r="C70" s="5">
        <v>46273</v>
      </c>
      <c r="D70" s="2" t="s">
        <v>61</v>
      </c>
      <c r="E70" s="2" t="s">
        <v>17</v>
      </c>
      <c r="F70" s="2" t="s">
        <v>57</v>
      </c>
      <c r="G70" s="2" t="s">
        <v>13</v>
      </c>
      <c r="H70" s="2" t="s">
        <v>33</v>
      </c>
      <c r="I70" s="4">
        <v>7</v>
      </c>
      <c r="J70" s="2"/>
    </row>
    <row r="71" spans="1:10" ht="14.5" x14ac:dyDescent="0.35">
      <c r="A71" s="2" t="s">
        <v>138</v>
      </c>
      <c r="B71" s="2" t="str">
        <f>TEXT(Table_1[[#This Row],[Date]],"mmmm")</f>
        <v>August</v>
      </c>
      <c r="C71" s="5">
        <v>46237</v>
      </c>
      <c r="D71" s="2" t="s">
        <v>139</v>
      </c>
      <c r="E71" s="2" t="s">
        <v>26</v>
      </c>
      <c r="F71" s="2" t="s">
        <v>18</v>
      </c>
      <c r="G71" s="2" t="s">
        <v>27</v>
      </c>
      <c r="H71" s="2" t="s">
        <v>14</v>
      </c>
      <c r="I71" s="4">
        <v>18</v>
      </c>
      <c r="J71" s="4">
        <v>2</v>
      </c>
    </row>
    <row r="72" spans="1:10" ht="14.5" x14ac:dyDescent="0.35">
      <c r="A72" s="2" t="s">
        <v>140</v>
      </c>
      <c r="B72" s="2" t="str">
        <f>TEXT(Table_1[[#This Row],[Date]],"mmmm")</f>
        <v>August</v>
      </c>
      <c r="C72" s="3">
        <v>46262</v>
      </c>
      <c r="D72" s="2" t="s">
        <v>141</v>
      </c>
      <c r="E72" s="2" t="s">
        <v>26</v>
      </c>
      <c r="F72" s="2" t="s">
        <v>12</v>
      </c>
      <c r="G72" s="2" t="s">
        <v>19</v>
      </c>
      <c r="H72" s="2" t="s">
        <v>33</v>
      </c>
      <c r="I72" s="4">
        <v>20</v>
      </c>
      <c r="J72" s="2"/>
    </row>
    <row r="73" spans="1:10" ht="14.5" x14ac:dyDescent="0.35">
      <c r="A73" s="2" t="s">
        <v>142</v>
      </c>
      <c r="B73" s="2" t="str">
        <f>TEXT(Table_1[[#This Row],[Date]],"mmmm")</f>
        <v>September</v>
      </c>
      <c r="C73" s="3">
        <v>46277</v>
      </c>
      <c r="D73" s="2" t="s">
        <v>143</v>
      </c>
      <c r="E73" s="2" t="s">
        <v>26</v>
      </c>
      <c r="F73" s="2" t="s">
        <v>12</v>
      </c>
      <c r="G73" s="2" t="s">
        <v>27</v>
      </c>
      <c r="H73" s="2" t="s">
        <v>14</v>
      </c>
      <c r="I73" s="4">
        <v>10</v>
      </c>
      <c r="J73" s="4">
        <v>4</v>
      </c>
    </row>
    <row r="74" spans="1:10" ht="14.5" x14ac:dyDescent="0.35">
      <c r="A74" s="2" t="s">
        <v>144</v>
      </c>
      <c r="B74" s="2" t="str">
        <f>TEXT(Table_1[[#This Row],[Date]],"mmmm")</f>
        <v>August</v>
      </c>
      <c r="C74" s="3">
        <v>46260</v>
      </c>
      <c r="D74" s="2" t="s">
        <v>145</v>
      </c>
      <c r="E74" s="2" t="s">
        <v>26</v>
      </c>
      <c r="F74" s="2" t="s">
        <v>18</v>
      </c>
      <c r="G74" s="2" t="s">
        <v>27</v>
      </c>
      <c r="H74" s="2" t="s">
        <v>14</v>
      </c>
      <c r="I74" s="4">
        <v>14</v>
      </c>
      <c r="J74" s="4">
        <v>4</v>
      </c>
    </row>
    <row r="75" spans="1:10" ht="14.5" x14ac:dyDescent="0.35">
      <c r="A75" s="2" t="s">
        <v>146</v>
      </c>
      <c r="B75" s="2" t="str">
        <f>TEXT(Table_1[[#This Row],[Date]],"mmmm")</f>
        <v>September</v>
      </c>
      <c r="C75" s="5">
        <v>46274</v>
      </c>
      <c r="D75" s="2" t="s">
        <v>147</v>
      </c>
      <c r="E75" s="2" t="s">
        <v>26</v>
      </c>
      <c r="F75" s="2" t="s">
        <v>57</v>
      </c>
      <c r="G75" s="2" t="s">
        <v>27</v>
      </c>
      <c r="H75" s="2" t="s">
        <v>14</v>
      </c>
      <c r="I75" s="4">
        <v>1</v>
      </c>
      <c r="J75" s="4">
        <v>3</v>
      </c>
    </row>
    <row r="76" spans="1:10" ht="14.5" x14ac:dyDescent="0.35">
      <c r="A76" s="2" t="s">
        <v>148</v>
      </c>
      <c r="B76" s="2" t="str">
        <f>TEXT(Table_1[[#This Row],[Date]],"mmmm")</f>
        <v>August</v>
      </c>
      <c r="C76" s="3">
        <v>46248</v>
      </c>
      <c r="D76" s="2" t="s">
        <v>89</v>
      </c>
      <c r="E76" s="2" t="s">
        <v>26</v>
      </c>
      <c r="F76" s="2" t="s">
        <v>42</v>
      </c>
      <c r="G76" s="2" t="s">
        <v>19</v>
      </c>
      <c r="H76" s="2" t="s">
        <v>23</v>
      </c>
      <c r="I76" s="4">
        <v>11</v>
      </c>
      <c r="J76" s="2"/>
    </row>
    <row r="77" spans="1:10" ht="14.5" x14ac:dyDescent="0.35">
      <c r="A77" s="2" t="s">
        <v>149</v>
      </c>
      <c r="B77" s="2" t="str">
        <f>TEXT(Table_1[[#This Row],[Date]],"mmmm")</f>
        <v>August</v>
      </c>
      <c r="C77" s="3">
        <v>46263</v>
      </c>
      <c r="D77" s="2" t="s">
        <v>150</v>
      </c>
      <c r="E77" s="2" t="s">
        <v>26</v>
      </c>
      <c r="F77" s="2" t="s">
        <v>42</v>
      </c>
      <c r="G77" s="2" t="s">
        <v>27</v>
      </c>
      <c r="H77" s="2" t="s">
        <v>14</v>
      </c>
      <c r="I77" s="4">
        <v>24</v>
      </c>
      <c r="J77" s="4">
        <v>2</v>
      </c>
    </row>
    <row r="78" spans="1:10" ht="14.5" x14ac:dyDescent="0.35">
      <c r="A78" s="2" t="s">
        <v>151</v>
      </c>
      <c r="B78" s="2" t="str">
        <f>TEXT(Table_1[[#This Row],[Date]],"mmmm")</f>
        <v>August</v>
      </c>
      <c r="C78" s="3">
        <v>46253</v>
      </c>
      <c r="D78" s="2" t="s">
        <v>69</v>
      </c>
      <c r="E78" s="2" t="s">
        <v>26</v>
      </c>
      <c r="F78" s="2" t="s">
        <v>57</v>
      </c>
      <c r="G78" s="2" t="s">
        <v>27</v>
      </c>
      <c r="H78" s="2" t="s">
        <v>23</v>
      </c>
      <c r="I78" s="4">
        <v>3</v>
      </c>
      <c r="J78" s="2"/>
    </row>
    <row r="79" spans="1:10" ht="14.5" x14ac:dyDescent="0.35">
      <c r="A79" s="2" t="s">
        <v>152</v>
      </c>
      <c r="B79" s="2" t="str">
        <f>TEXT(Table_1[[#This Row],[Date]],"mmmm")</f>
        <v>September</v>
      </c>
      <c r="C79" s="3">
        <v>46278</v>
      </c>
      <c r="D79" s="2" t="s">
        <v>87</v>
      </c>
      <c r="E79" s="2" t="s">
        <v>26</v>
      </c>
      <c r="F79" s="2" t="s">
        <v>45</v>
      </c>
      <c r="G79" s="2" t="s">
        <v>13</v>
      </c>
      <c r="H79" s="2" t="s">
        <v>14</v>
      </c>
      <c r="I79" s="4">
        <v>1</v>
      </c>
      <c r="J79" s="4">
        <v>1</v>
      </c>
    </row>
    <row r="80" spans="1:10" ht="14.5" x14ac:dyDescent="0.35">
      <c r="A80" s="2" t="s">
        <v>153</v>
      </c>
      <c r="B80" s="2" t="str">
        <f>TEXT(Table_1[[#This Row],[Date]],"mmmm")</f>
        <v>August</v>
      </c>
      <c r="C80" s="3">
        <v>46265</v>
      </c>
      <c r="D80" s="2" t="s">
        <v>37</v>
      </c>
      <c r="E80" s="2" t="s">
        <v>26</v>
      </c>
      <c r="F80" s="2" t="s">
        <v>57</v>
      </c>
      <c r="G80" s="2" t="s">
        <v>19</v>
      </c>
      <c r="H80" s="2" t="s">
        <v>14</v>
      </c>
      <c r="I80" s="4">
        <v>14</v>
      </c>
      <c r="J80" s="4">
        <v>5</v>
      </c>
    </row>
    <row r="81" spans="1:10" ht="14.5" x14ac:dyDescent="0.35">
      <c r="A81" s="2" t="s">
        <v>154</v>
      </c>
      <c r="B81" s="2" t="str">
        <f>TEXT(Table_1[[#This Row],[Date]],"mmmm")</f>
        <v>September</v>
      </c>
      <c r="C81" s="3">
        <v>46280</v>
      </c>
      <c r="D81" s="2" t="s">
        <v>10</v>
      </c>
      <c r="E81" s="2" t="s">
        <v>26</v>
      </c>
      <c r="F81" s="2" t="s">
        <v>18</v>
      </c>
      <c r="G81" s="2" t="s">
        <v>27</v>
      </c>
      <c r="H81" s="2" t="s">
        <v>14</v>
      </c>
      <c r="I81" s="4">
        <v>5</v>
      </c>
      <c r="J81" s="4">
        <v>1</v>
      </c>
    </row>
    <row r="82" spans="1:10" ht="14.5" x14ac:dyDescent="0.35">
      <c r="A82" s="2" t="s">
        <v>155</v>
      </c>
      <c r="B82" s="2" t="str">
        <f>TEXT(Table_1[[#This Row],[Date]],"mmmm")</f>
        <v>August</v>
      </c>
      <c r="C82" s="3">
        <v>46262</v>
      </c>
      <c r="D82" s="2" t="s">
        <v>89</v>
      </c>
      <c r="E82" s="2" t="s">
        <v>26</v>
      </c>
      <c r="F82" s="2" t="s">
        <v>22</v>
      </c>
      <c r="G82" s="2" t="s">
        <v>13</v>
      </c>
      <c r="H82" s="2" t="s">
        <v>32</v>
      </c>
      <c r="I82" s="4">
        <v>17</v>
      </c>
      <c r="J82" s="2"/>
    </row>
    <row r="83" spans="1:10" ht="14.5" x14ac:dyDescent="0.35">
      <c r="A83" s="2" t="s">
        <v>156</v>
      </c>
      <c r="B83" s="2" t="str">
        <f>TEXT(Table_1[[#This Row],[Date]],"mmmm")</f>
        <v>August</v>
      </c>
      <c r="C83" s="5">
        <v>46238</v>
      </c>
      <c r="D83" s="2" t="s">
        <v>157</v>
      </c>
      <c r="E83" s="2" t="s">
        <v>26</v>
      </c>
      <c r="F83" s="2" t="s">
        <v>57</v>
      </c>
      <c r="G83" s="2" t="s">
        <v>13</v>
      </c>
      <c r="H83" s="2" t="s">
        <v>33</v>
      </c>
      <c r="I83" s="4">
        <v>15</v>
      </c>
      <c r="J83" s="2"/>
    </row>
    <row r="84" spans="1:10" ht="14.5" x14ac:dyDescent="0.35">
      <c r="A84" s="2" t="s">
        <v>158</v>
      </c>
      <c r="B84" s="2" t="str">
        <f>TEXT(Table_1[[#This Row],[Date]],"mmmm")</f>
        <v>August</v>
      </c>
      <c r="C84" s="3">
        <v>46264</v>
      </c>
      <c r="D84" s="2" t="s">
        <v>76</v>
      </c>
      <c r="E84" s="2" t="s">
        <v>26</v>
      </c>
      <c r="F84" s="2" t="s">
        <v>18</v>
      </c>
      <c r="G84" s="2" t="s">
        <v>27</v>
      </c>
      <c r="H84" s="2" t="s">
        <v>23</v>
      </c>
      <c r="I84" s="4">
        <v>11</v>
      </c>
      <c r="J84" s="2"/>
    </row>
    <row r="85" spans="1:10" ht="14.5" x14ac:dyDescent="0.35">
      <c r="A85" s="2" t="s">
        <v>159</v>
      </c>
      <c r="B85" s="2" t="str">
        <f>TEXT(Table_1[[#This Row],[Date]],"mmmm")</f>
        <v>September</v>
      </c>
      <c r="C85" s="5">
        <v>46274</v>
      </c>
      <c r="D85" s="2" t="s">
        <v>41</v>
      </c>
      <c r="E85" s="2" t="s">
        <v>11</v>
      </c>
      <c r="F85" s="2" t="s">
        <v>18</v>
      </c>
      <c r="G85" s="2" t="s">
        <v>19</v>
      </c>
      <c r="H85" s="2" t="s">
        <v>14</v>
      </c>
      <c r="I85" s="4">
        <v>18</v>
      </c>
      <c r="J85" s="4">
        <v>4</v>
      </c>
    </row>
    <row r="86" spans="1:10" ht="14.5" x14ac:dyDescent="0.35">
      <c r="A86" s="2" t="s">
        <v>160</v>
      </c>
      <c r="B86" s="2" t="str">
        <f>TEXT(Table_1[[#This Row],[Date]],"mmmm")</f>
        <v>August</v>
      </c>
      <c r="C86" s="3">
        <v>46265</v>
      </c>
      <c r="D86" s="2" t="s">
        <v>102</v>
      </c>
      <c r="E86" s="2" t="s">
        <v>17</v>
      </c>
      <c r="F86" s="2" t="s">
        <v>42</v>
      </c>
      <c r="G86" s="2" t="s">
        <v>27</v>
      </c>
      <c r="H86" s="2" t="s">
        <v>14</v>
      </c>
      <c r="I86" s="4">
        <v>21</v>
      </c>
      <c r="J86" s="4">
        <v>3</v>
      </c>
    </row>
    <row r="87" spans="1:10" ht="14.5" x14ac:dyDescent="0.35">
      <c r="A87" s="2" t="s">
        <v>161</v>
      </c>
      <c r="B87" s="2" t="str">
        <f>TEXT(Table_1[[#This Row],[Date]],"mmmm")</f>
        <v>September</v>
      </c>
      <c r="C87" s="5">
        <v>46266</v>
      </c>
      <c r="D87" s="2" t="s">
        <v>69</v>
      </c>
      <c r="E87" s="2" t="s">
        <v>17</v>
      </c>
      <c r="F87" s="2" t="s">
        <v>18</v>
      </c>
      <c r="G87" s="2" t="s">
        <v>13</v>
      </c>
      <c r="H87" s="2" t="s">
        <v>14</v>
      </c>
      <c r="I87" s="4">
        <v>23</v>
      </c>
      <c r="J87" s="4">
        <v>3</v>
      </c>
    </row>
    <row r="88" spans="1:10" ht="14.5" x14ac:dyDescent="0.35">
      <c r="A88" s="2" t="s">
        <v>162</v>
      </c>
      <c r="B88" s="2" t="str">
        <f>TEXT(Table_1[[#This Row],[Date]],"mmmm")</f>
        <v>August</v>
      </c>
      <c r="C88" s="3">
        <v>46252</v>
      </c>
      <c r="D88" s="2" t="s">
        <v>39</v>
      </c>
      <c r="E88" s="2" t="s">
        <v>17</v>
      </c>
      <c r="F88" s="2" t="s">
        <v>45</v>
      </c>
      <c r="G88" s="2" t="s">
        <v>27</v>
      </c>
      <c r="H88" s="2" t="s">
        <v>14</v>
      </c>
      <c r="I88" s="4">
        <v>5</v>
      </c>
      <c r="J88" s="4">
        <v>2</v>
      </c>
    </row>
    <row r="89" spans="1:10" ht="14.5" x14ac:dyDescent="0.35">
      <c r="A89" s="2" t="s">
        <v>163</v>
      </c>
      <c r="B89" s="2" t="str">
        <f>TEXT(Table_1[[#This Row],[Date]],"mmmm")</f>
        <v>August</v>
      </c>
      <c r="C89" s="3">
        <v>46259</v>
      </c>
      <c r="D89" s="2" t="s">
        <v>131</v>
      </c>
      <c r="E89" s="2" t="s">
        <v>17</v>
      </c>
      <c r="F89" s="2" t="s">
        <v>18</v>
      </c>
      <c r="G89" s="2" t="s">
        <v>13</v>
      </c>
      <c r="H89" s="2" t="s">
        <v>14</v>
      </c>
      <c r="I89" s="4">
        <v>14</v>
      </c>
      <c r="J89" s="4">
        <v>4</v>
      </c>
    </row>
    <row r="90" spans="1:10" ht="14.5" x14ac:dyDescent="0.35">
      <c r="A90" s="2" t="s">
        <v>164</v>
      </c>
      <c r="B90" s="2" t="str">
        <f>TEXT(Table_1[[#This Row],[Date]],"mmmm")</f>
        <v>September</v>
      </c>
      <c r="C90" s="5">
        <v>46269</v>
      </c>
      <c r="D90" s="2" t="s">
        <v>54</v>
      </c>
      <c r="E90" s="2" t="s">
        <v>11</v>
      </c>
      <c r="F90" s="2" t="s">
        <v>42</v>
      </c>
      <c r="G90" s="2" t="s">
        <v>27</v>
      </c>
      <c r="H90" s="2" t="s">
        <v>14</v>
      </c>
      <c r="I90" s="4">
        <v>14</v>
      </c>
      <c r="J90" s="4">
        <v>4</v>
      </c>
    </row>
    <row r="91" spans="1:10" ht="14.5" x14ac:dyDescent="0.35">
      <c r="A91" s="2" t="s">
        <v>165</v>
      </c>
      <c r="B91" s="2" t="str">
        <f>TEXT(Table_1[[#This Row],[Date]],"mmmm")</f>
        <v>September</v>
      </c>
      <c r="C91" s="3">
        <v>46279</v>
      </c>
      <c r="D91" s="2" t="s">
        <v>166</v>
      </c>
      <c r="E91" s="2" t="s">
        <v>11</v>
      </c>
      <c r="F91" s="2" t="s">
        <v>12</v>
      </c>
      <c r="G91" s="2" t="s">
        <v>19</v>
      </c>
      <c r="H91" s="2" t="s">
        <v>33</v>
      </c>
      <c r="I91" s="4">
        <v>13</v>
      </c>
      <c r="J91" s="2"/>
    </row>
    <row r="92" spans="1:10" ht="14.5" x14ac:dyDescent="0.35">
      <c r="A92" s="2" t="s">
        <v>167</v>
      </c>
      <c r="B92" s="2" t="str">
        <f>TEXT(Table_1[[#This Row],[Date]],"mmmm")</f>
        <v>August</v>
      </c>
      <c r="C92" s="5">
        <v>46235</v>
      </c>
      <c r="D92" s="2" t="s">
        <v>97</v>
      </c>
      <c r="E92" s="2" t="s">
        <v>11</v>
      </c>
      <c r="F92" s="2" t="s">
        <v>45</v>
      </c>
      <c r="G92" s="2" t="s">
        <v>27</v>
      </c>
      <c r="H92" s="2" t="s">
        <v>14</v>
      </c>
      <c r="I92" s="4">
        <v>14</v>
      </c>
      <c r="J92" s="4">
        <v>5</v>
      </c>
    </row>
    <row r="93" spans="1:10" ht="14.5" x14ac:dyDescent="0.35">
      <c r="A93" s="2" t="s">
        <v>168</v>
      </c>
      <c r="B93" s="2" t="str">
        <f>TEXT(Table_1[[#This Row],[Date]],"mmmm")</f>
        <v>September</v>
      </c>
      <c r="C93" s="5">
        <v>46273</v>
      </c>
      <c r="D93" s="2" t="s">
        <v>169</v>
      </c>
      <c r="E93" s="2" t="s">
        <v>11</v>
      </c>
      <c r="F93" s="2" t="s">
        <v>22</v>
      </c>
      <c r="G93" s="2" t="s">
        <v>27</v>
      </c>
      <c r="H93" s="2" t="s">
        <v>14</v>
      </c>
      <c r="I93" s="4">
        <v>16</v>
      </c>
      <c r="J93" s="4">
        <v>1</v>
      </c>
    </row>
    <row r="94" spans="1:10" ht="14.5" x14ac:dyDescent="0.35">
      <c r="A94" s="2" t="s">
        <v>170</v>
      </c>
      <c r="B94" s="2" t="str">
        <f>TEXT(Table_1[[#This Row],[Date]],"mmmm")</f>
        <v>August</v>
      </c>
      <c r="C94" s="3">
        <v>46256</v>
      </c>
      <c r="D94" s="2" t="s">
        <v>171</v>
      </c>
      <c r="E94" s="2" t="s">
        <v>11</v>
      </c>
      <c r="F94" s="2" t="s">
        <v>18</v>
      </c>
      <c r="G94" s="2" t="s">
        <v>27</v>
      </c>
      <c r="H94" s="2" t="s">
        <v>14</v>
      </c>
      <c r="I94" s="4">
        <v>6</v>
      </c>
      <c r="J94" s="4">
        <v>4</v>
      </c>
    </row>
    <row r="95" spans="1:10" ht="14.5" x14ac:dyDescent="0.35">
      <c r="A95" s="2" t="s">
        <v>172</v>
      </c>
      <c r="B95" s="2" t="str">
        <f>TEXT(Table_1[[#This Row],[Date]],"mmmm")</f>
        <v>September</v>
      </c>
      <c r="C95" s="5">
        <v>46274</v>
      </c>
      <c r="D95" s="2" t="s">
        <v>150</v>
      </c>
      <c r="E95" s="2" t="s">
        <v>11</v>
      </c>
      <c r="F95" s="2" t="s">
        <v>57</v>
      </c>
      <c r="G95" s="2" t="s">
        <v>13</v>
      </c>
      <c r="H95" s="2" t="s">
        <v>14</v>
      </c>
      <c r="I95" s="4">
        <v>19</v>
      </c>
      <c r="J95" s="4">
        <v>1</v>
      </c>
    </row>
    <row r="96" spans="1:10" ht="14.5" x14ac:dyDescent="0.35">
      <c r="A96" s="2" t="s">
        <v>173</v>
      </c>
      <c r="B96" s="2" t="str">
        <f>TEXT(Table_1[[#This Row],[Date]],"mmmm")</f>
        <v>September</v>
      </c>
      <c r="C96" s="3">
        <v>46276</v>
      </c>
      <c r="D96" s="2" t="s">
        <v>127</v>
      </c>
      <c r="E96" s="2" t="s">
        <v>11</v>
      </c>
      <c r="F96" s="2" t="s">
        <v>42</v>
      </c>
      <c r="G96" s="2" t="s">
        <v>13</v>
      </c>
      <c r="H96" s="2" t="s">
        <v>14</v>
      </c>
      <c r="I96" s="4">
        <v>2</v>
      </c>
      <c r="J96" s="4">
        <v>3</v>
      </c>
    </row>
    <row r="97" spans="1:10" ht="14.5" x14ac:dyDescent="0.35">
      <c r="A97" s="2" t="s">
        <v>174</v>
      </c>
      <c r="B97" s="2" t="str">
        <f>TEXT(Table_1[[#This Row],[Date]],"mmmm")</f>
        <v>August</v>
      </c>
      <c r="C97" s="3">
        <v>46255</v>
      </c>
      <c r="D97" s="2" t="s">
        <v>175</v>
      </c>
      <c r="E97" s="2" t="s">
        <v>176</v>
      </c>
      <c r="F97" s="2" t="s">
        <v>22</v>
      </c>
      <c r="G97" s="2" t="s">
        <v>27</v>
      </c>
      <c r="H97" s="2" t="s">
        <v>14</v>
      </c>
      <c r="I97" s="4">
        <v>13</v>
      </c>
      <c r="J97" s="4">
        <v>3</v>
      </c>
    </row>
    <row r="98" spans="1:10" ht="14.5" x14ac:dyDescent="0.35">
      <c r="A98" s="2" t="s">
        <v>177</v>
      </c>
      <c r="B98" s="2" t="str">
        <f>TEXT(Table_1[[#This Row],[Date]],"mmmm")</f>
        <v>August</v>
      </c>
      <c r="C98" s="3">
        <v>46251</v>
      </c>
      <c r="D98" s="2" t="s">
        <v>129</v>
      </c>
      <c r="E98" s="2" t="s">
        <v>176</v>
      </c>
      <c r="F98" s="2" t="s">
        <v>12</v>
      </c>
      <c r="G98" s="2" t="s">
        <v>27</v>
      </c>
      <c r="H98" s="2" t="s">
        <v>23</v>
      </c>
      <c r="I98" s="4">
        <v>2</v>
      </c>
      <c r="J98" s="2"/>
    </row>
    <row r="99" spans="1:10" ht="14.5" x14ac:dyDescent="0.35">
      <c r="A99" s="2" t="s">
        <v>178</v>
      </c>
      <c r="B99" s="2" t="str">
        <f>TEXT(Table_1[[#This Row],[Date]],"mmmm")</f>
        <v>August</v>
      </c>
      <c r="C99" s="3">
        <v>46249</v>
      </c>
      <c r="D99" s="2" t="s">
        <v>16</v>
      </c>
      <c r="E99" s="2" t="s">
        <v>176</v>
      </c>
      <c r="F99" s="2" t="s">
        <v>18</v>
      </c>
      <c r="G99" s="2" t="s">
        <v>13</v>
      </c>
      <c r="H99" s="2" t="s">
        <v>32</v>
      </c>
      <c r="I99" s="4">
        <v>2</v>
      </c>
      <c r="J99" s="2"/>
    </row>
    <row r="100" spans="1:10" ht="14.5" x14ac:dyDescent="0.35">
      <c r="A100" s="2" t="s">
        <v>179</v>
      </c>
      <c r="B100" s="2" t="str">
        <f>TEXT(Table_1[[#This Row],[Date]],"mmmm")</f>
        <v>August</v>
      </c>
      <c r="C100" s="3">
        <v>46250</v>
      </c>
      <c r="D100" s="2" t="s">
        <v>171</v>
      </c>
      <c r="E100" s="2" t="s">
        <v>176</v>
      </c>
      <c r="F100" s="2" t="s">
        <v>22</v>
      </c>
      <c r="G100" s="2" t="s">
        <v>19</v>
      </c>
      <c r="H100" s="2" t="s">
        <v>23</v>
      </c>
      <c r="I100" s="4">
        <v>8</v>
      </c>
      <c r="J100" s="2"/>
    </row>
    <row r="101" spans="1:10" ht="14.5" x14ac:dyDescent="0.35">
      <c r="A101" s="2" t="s">
        <v>180</v>
      </c>
      <c r="B101" s="2" t="str">
        <f>TEXT(Table_1[[#This Row],[Date]],"mmmm")</f>
        <v>August</v>
      </c>
      <c r="C101" s="3">
        <v>46265</v>
      </c>
      <c r="D101" s="2" t="s">
        <v>61</v>
      </c>
      <c r="E101" s="2" t="s">
        <v>176</v>
      </c>
      <c r="F101" s="2" t="s">
        <v>18</v>
      </c>
      <c r="G101" s="2" t="s">
        <v>13</v>
      </c>
      <c r="H101" s="2" t="s">
        <v>32</v>
      </c>
      <c r="I101" s="4">
        <v>15</v>
      </c>
      <c r="J101" s="2"/>
    </row>
    <row r="102" spans="1:10" ht="14.5" x14ac:dyDescent="0.35">
      <c r="A102" s="2" t="s">
        <v>181</v>
      </c>
      <c r="B102" s="2" t="str">
        <f>TEXT(Table_1[[#This Row],[Date]],"mmmm")</f>
        <v>August</v>
      </c>
      <c r="C102" s="3">
        <v>46258</v>
      </c>
      <c r="D102" s="2" t="s">
        <v>182</v>
      </c>
      <c r="E102" s="2" t="s">
        <v>176</v>
      </c>
      <c r="F102" s="2" t="s">
        <v>22</v>
      </c>
      <c r="G102" s="2" t="s">
        <v>27</v>
      </c>
      <c r="H102" s="2" t="s">
        <v>32</v>
      </c>
      <c r="I102" s="4">
        <v>23</v>
      </c>
      <c r="J102" s="2"/>
    </row>
    <row r="103" spans="1:10" ht="14.5" x14ac:dyDescent="0.35">
      <c r="A103" s="2" t="s">
        <v>183</v>
      </c>
      <c r="B103" s="2" t="str">
        <f>TEXT(Table_1[[#This Row],[Date]],"mmmm")</f>
        <v>August</v>
      </c>
      <c r="C103" s="3">
        <v>46245</v>
      </c>
      <c r="D103" s="2" t="s">
        <v>127</v>
      </c>
      <c r="E103" s="2" t="s">
        <v>176</v>
      </c>
      <c r="F103" s="2" t="s">
        <v>45</v>
      </c>
      <c r="G103" s="2" t="s">
        <v>13</v>
      </c>
      <c r="H103" s="2" t="s">
        <v>14</v>
      </c>
      <c r="I103" s="4">
        <v>10</v>
      </c>
      <c r="J103" s="4">
        <v>5</v>
      </c>
    </row>
    <row r="104" spans="1:10" ht="14.5" x14ac:dyDescent="0.35">
      <c r="A104" s="2" t="s">
        <v>184</v>
      </c>
      <c r="B104" s="2" t="str">
        <f>TEXT(Table_1[[#This Row],[Date]],"mmmm")</f>
        <v>August</v>
      </c>
      <c r="C104" s="3">
        <v>46260</v>
      </c>
      <c r="D104" s="2" t="s">
        <v>87</v>
      </c>
      <c r="E104" s="2" t="s">
        <v>176</v>
      </c>
      <c r="F104" s="2" t="s">
        <v>18</v>
      </c>
      <c r="G104" s="2" t="s">
        <v>13</v>
      </c>
      <c r="H104" s="2" t="s">
        <v>23</v>
      </c>
      <c r="I104" s="4">
        <v>21</v>
      </c>
      <c r="J104" s="2"/>
    </row>
    <row r="105" spans="1:10" ht="14.5" x14ac:dyDescent="0.35">
      <c r="A105" s="2" t="s">
        <v>185</v>
      </c>
      <c r="B105" s="2" t="str">
        <f>TEXT(Table_1[[#This Row],[Date]],"mmmm")</f>
        <v>August</v>
      </c>
      <c r="C105" s="5">
        <v>46241</v>
      </c>
      <c r="D105" s="2" t="s">
        <v>186</v>
      </c>
      <c r="E105" s="2" t="s">
        <v>176</v>
      </c>
      <c r="F105" s="2" t="s">
        <v>18</v>
      </c>
      <c r="G105" s="2" t="s">
        <v>19</v>
      </c>
      <c r="H105" s="2" t="s">
        <v>33</v>
      </c>
      <c r="I105" s="4">
        <v>20</v>
      </c>
      <c r="J105" s="2"/>
    </row>
    <row r="106" spans="1:10" ht="14.5" x14ac:dyDescent="0.35">
      <c r="A106" s="2" t="s">
        <v>187</v>
      </c>
      <c r="B106" s="2" t="str">
        <f>TEXT(Table_1[[#This Row],[Date]],"mmmm")</f>
        <v>September</v>
      </c>
      <c r="C106" s="5">
        <v>46271</v>
      </c>
      <c r="D106" s="2" t="s">
        <v>64</v>
      </c>
      <c r="E106" s="2" t="s">
        <v>176</v>
      </c>
      <c r="F106" s="2" t="s">
        <v>12</v>
      </c>
      <c r="G106" s="2" t="s">
        <v>27</v>
      </c>
      <c r="H106" s="2" t="s">
        <v>14</v>
      </c>
      <c r="I106" s="4">
        <v>12</v>
      </c>
      <c r="J106" s="4">
        <v>1</v>
      </c>
    </row>
    <row r="107" spans="1:10" ht="14.5" x14ac:dyDescent="0.35">
      <c r="A107" s="2" t="s">
        <v>188</v>
      </c>
      <c r="B107" s="2" t="str">
        <f>TEXT(Table_1[[#This Row],[Date]],"mmmm")</f>
        <v>September</v>
      </c>
      <c r="C107" s="3">
        <v>46276</v>
      </c>
      <c r="D107" s="2" t="s">
        <v>136</v>
      </c>
      <c r="E107" s="2" t="s">
        <v>11</v>
      </c>
      <c r="F107" s="2" t="s">
        <v>45</v>
      </c>
      <c r="G107" s="2" t="s">
        <v>13</v>
      </c>
      <c r="H107" s="2" t="s">
        <v>14</v>
      </c>
      <c r="I107" s="4">
        <v>16</v>
      </c>
      <c r="J107" s="4">
        <v>1</v>
      </c>
    </row>
    <row r="108" spans="1:10" ht="14.5" x14ac:dyDescent="0.35">
      <c r="A108" s="2" t="s">
        <v>189</v>
      </c>
      <c r="B108" s="2" t="str">
        <f>TEXT(Table_1[[#This Row],[Date]],"mmmm")</f>
        <v>August</v>
      </c>
      <c r="C108" s="3">
        <v>46258</v>
      </c>
      <c r="D108" s="2" t="s">
        <v>145</v>
      </c>
      <c r="E108" s="2" t="s">
        <v>17</v>
      </c>
      <c r="F108" s="2" t="s">
        <v>18</v>
      </c>
      <c r="G108" s="2" t="s">
        <v>19</v>
      </c>
      <c r="H108" s="2" t="s">
        <v>14</v>
      </c>
      <c r="I108" s="4">
        <v>5</v>
      </c>
      <c r="J108" s="4">
        <v>4</v>
      </c>
    </row>
    <row r="109" spans="1:10" ht="14.5" x14ac:dyDescent="0.35">
      <c r="A109" s="2" t="s">
        <v>190</v>
      </c>
      <c r="B109" s="2" t="str">
        <f>TEXT(Table_1[[#This Row],[Date]],"mmmm")</f>
        <v>September</v>
      </c>
      <c r="C109" s="5">
        <v>46268</v>
      </c>
      <c r="D109" s="2" t="s">
        <v>166</v>
      </c>
      <c r="E109" s="2" t="s">
        <v>26</v>
      </c>
      <c r="F109" s="2" t="s">
        <v>18</v>
      </c>
      <c r="G109" s="2" t="s">
        <v>27</v>
      </c>
      <c r="H109" s="2" t="s">
        <v>33</v>
      </c>
      <c r="I109" s="4">
        <v>18</v>
      </c>
      <c r="J109" s="2"/>
    </row>
    <row r="110" spans="1:10" ht="14.5" x14ac:dyDescent="0.35">
      <c r="A110" s="2" t="s">
        <v>191</v>
      </c>
      <c r="B110" s="2" t="str">
        <f>TEXT(Table_1[[#This Row],[Date]],"mmmm")</f>
        <v>August</v>
      </c>
      <c r="C110" s="3">
        <v>46264</v>
      </c>
      <c r="D110" s="2" t="s">
        <v>87</v>
      </c>
      <c r="E110" s="2" t="s">
        <v>17</v>
      </c>
      <c r="F110" s="2" t="s">
        <v>42</v>
      </c>
      <c r="G110" s="2" t="s">
        <v>19</v>
      </c>
      <c r="H110" s="2" t="s">
        <v>23</v>
      </c>
      <c r="I110" s="4">
        <v>11</v>
      </c>
      <c r="J110" s="2"/>
    </row>
    <row r="111" spans="1:10" ht="14.5" x14ac:dyDescent="0.35">
      <c r="A111" s="2" t="s">
        <v>192</v>
      </c>
      <c r="B111" s="2" t="str">
        <f>TEXT(Table_1[[#This Row],[Date]],"mmmm")</f>
        <v>August</v>
      </c>
      <c r="C111" s="5">
        <v>46240</v>
      </c>
      <c r="D111" s="2" t="s">
        <v>193</v>
      </c>
      <c r="E111" s="2" t="s">
        <v>176</v>
      </c>
      <c r="F111" s="2" t="s">
        <v>45</v>
      </c>
      <c r="G111" s="2" t="s">
        <v>19</v>
      </c>
      <c r="H111" s="2" t="s">
        <v>14</v>
      </c>
      <c r="I111" s="4">
        <v>15</v>
      </c>
      <c r="J111" s="4">
        <v>5</v>
      </c>
    </row>
    <row r="112" spans="1:10" ht="14.5" x14ac:dyDescent="0.35">
      <c r="A112" s="2" t="s">
        <v>194</v>
      </c>
      <c r="B112" s="2" t="str">
        <f>TEXT(Table_1[[#This Row],[Date]],"mmmm")</f>
        <v>September</v>
      </c>
      <c r="C112" s="3">
        <v>46277</v>
      </c>
      <c r="D112" s="2" t="s">
        <v>71</v>
      </c>
      <c r="E112" s="2" t="s">
        <v>176</v>
      </c>
      <c r="F112" s="2" t="s">
        <v>42</v>
      </c>
      <c r="G112" s="2" t="s">
        <v>27</v>
      </c>
      <c r="H112" s="2" t="s">
        <v>14</v>
      </c>
      <c r="I112" s="4">
        <v>11</v>
      </c>
      <c r="J112" s="4">
        <v>2</v>
      </c>
    </row>
    <row r="113" spans="1:10" ht="14.5" x14ac:dyDescent="0.35">
      <c r="A113" s="2" t="s">
        <v>195</v>
      </c>
      <c r="B113" s="2" t="str">
        <f>TEXT(Table_1[[#This Row],[Date]],"mmmm")</f>
        <v>August</v>
      </c>
      <c r="C113" s="3">
        <v>46248</v>
      </c>
      <c r="D113" s="2" t="s">
        <v>196</v>
      </c>
      <c r="E113" s="2" t="s">
        <v>176</v>
      </c>
      <c r="F113" s="2" t="s">
        <v>45</v>
      </c>
      <c r="G113" s="2" t="s">
        <v>19</v>
      </c>
      <c r="H113" s="2" t="s">
        <v>14</v>
      </c>
      <c r="I113" s="4">
        <v>20</v>
      </c>
      <c r="J113" s="4">
        <v>3</v>
      </c>
    </row>
    <row r="114" spans="1:10" ht="14.5" x14ac:dyDescent="0.35">
      <c r="A114" s="2" t="s">
        <v>197</v>
      </c>
      <c r="B114" s="2" t="str">
        <f>TEXT(Table_1[[#This Row],[Date]],"mmmm")</f>
        <v>August</v>
      </c>
      <c r="C114" s="5">
        <v>46235</v>
      </c>
      <c r="D114" s="2" t="s">
        <v>71</v>
      </c>
      <c r="E114" s="2" t="s">
        <v>176</v>
      </c>
      <c r="F114" s="2" t="s">
        <v>57</v>
      </c>
      <c r="G114" s="2" t="s">
        <v>19</v>
      </c>
      <c r="H114" s="2" t="s">
        <v>14</v>
      </c>
      <c r="I114" s="4">
        <v>24</v>
      </c>
      <c r="J114" s="4">
        <v>4</v>
      </c>
    </row>
    <row r="115" spans="1:10" ht="14.5" x14ac:dyDescent="0.35">
      <c r="A115" s="2" t="s">
        <v>198</v>
      </c>
      <c r="B115" s="2" t="str">
        <f>TEXT(Table_1[[#This Row],[Date]],"mmmm")</f>
        <v>September</v>
      </c>
      <c r="C115" s="5">
        <v>46270</v>
      </c>
      <c r="D115" s="2" t="s">
        <v>199</v>
      </c>
      <c r="E115" s="2" t="s">
        <v>176</v>
      </c>
      <c r="F115" s="2" t="s">
        <v>22</v>
      </c>
      <c r="G115" s="2" t="s">
        <v>27</v>
      </c>
      <c r="H115" s="2" t="s">
        <v>23</v>
      </c>
      <c r="I115" s="4">
        <v>16</v>
      </c>
      <c r="J115" s="2"/>
    </row>
    <row r="116" spans="1:10" ht="14.5" x14ac:dyDescent="0.35">
      <c r="A116" s="2" t="s">
        <v>200</v>
      </c>
      <c r="B116" s="2" t="str">
        <f>TEXT(Table_1[[#This Row],[Date]],"mmmm")</f>
        <v>August</v>
      </c>
      <c r="C116" s="5">
        <v>46236</v>
      </c>
      <c r="D116" s="2" t="s">
        <v>54</v>
      </c>
      <c r="E116" s="2" t="s">
        <v>176</v>
      </c>
      <c r="F116" s="2" t="s">
        <v>12</v>
      </c>
      <c r="G116" s="2" t="s">
        <v>27</v>
      </c>
      <c r="H116" s="2" t="s">
        <v>14</v>
      </c>
      <c r="I116" s="4">
        <v>8</v>
      </c>
      <c r="J116" s="4">
        <v>3</v>
      </c>
    </row>
    <row r="117" spans="1:10" ht="14.5" x14ac:dyDescent="0.35">
      <c r="A117" s="2" t="s">
        <v>201</v>
      </c>
      <c r="B117" s="2" t="str">
        <f>TEXT(Table_1[[#This Row],[Date]],"mmmm")</f>
        <v>August</v>
      </c>
      <c r="C117" s="3">
        <v>46258</v>
      </c>
      <c r="D117" s="2" t="s">
        <v>131</v>
      </c>
      <c r="E117" s="2" t="s">
        <v>176</v>
      </c>
      <c r="F117" s="2" t="s">
        <v>42</v>
      </c>
      <c r="G117" s="2" t="s">
        <v>27</v>
      </c>
      <c r="H117" s="2" t="s">
        <v>14</v>
      </c>
      <c r="I117" s="4">
        <v>24</v>
      </c>
      <c r="J117" s="4">
        <v>5</v>
      </c>
    </row>
    <row r="118" spans="1:10" ht="14.5" x14ac:dyDescent="0.35">
      <c r="A118" s="2" t="s">
        <v>202</v>
      </c>
      <c r="B118" s="2" t="str">
        <f>TEXT(Table_1[[#This Row],[Date]],"mmmm")</f>
        <v>August</v>
      </c>
      <c r="C118" s="3">
        <v>46257</v>
      </c>
      <c r="D118" s="2" t="s">
        <v>37</v>
      </c>
      <c r="E118" s="2" t="s">
        <v>176</v>
      </c>
      <c r="F118" s="2" t="s">
        <v>18</v>
      </c>
      <c r="G118" s="2" t="s">
        <v>27</v>
      </c>
      <c r="H118" s="2" t="s">
        <v>14</v>
      </c>
      <c r="I118" s="4">
        <v>8</v>
      </c>
      <c r="J118" s="4">
        <v>1</v>
      </c>
    </row>
    <row r="119" spans="1:10" ht="14.5" x14ac:dyDescent="0.35">
      <c r="A119" s="2" t="s">
        <v>203</v>
      </c>
      <c r="B119" s="2" t="str">
        <f>TEXT(Table_1[[#This Row],[Date]],"mmmm")</f>
        <v>August</v>
      </c>
      <c r="C119" s="3">
        <v>46255</v>
      </c>
      <c r="D119" s="2" t="s">
        <v>204</v>
      </c>
      <c r="E119" s="2" t="s">
        <v>176</v>
      </c>
      <c r="F119" s="2" t="s">
        <v>12</v>
      </c>
      <c r="G119" s="2" t="s">
        <v>27</v>
      </c>
      <c r="H119" s="2" t="s">
        <v>32</v>
      </c>
      <c r="I119" s="4">
        <v>23</v>
      </c>
      <c r="J119" s="2"/>
    </row>
    <row r="120" spans="1:10" ht="14.5" x14ac:dyDescent="0.35">
      <c r="A120" s="2" t="s">
        <v>205</v>
      </c>
      <c r="B120" s="2" t="str">
        <f>TEXT(Table_1[[#This Row],[Date]],"mmmm")</f>
        <v>August</v>
      </c>
      <c r="C120" s="3">
        <v>46247</v>
      </c>
      <c r="D120" s="2" t="s">
        <v>59</v>
      </c>
      <c r="E120" s="2" t="s">
        <v>176</v>
      </c>
      <c r="F120" s="2" t="s">
        <v>22</v>
      </c>
      <c r="G120" s="2" t="s">
        <v>27</v>
      </c>
      <c r="H120" s="2" t="s">
        <v>14</v>
      </c>
      <c r="I120" s="4">
        <v>19</v>
      </c>
      <c r="J120" s="4">
        <v>5</v>
      </c>
    </row>
    <row r="121" spans="1:10" ht="14.5" x14ac:dyDescent="0.35">
      <c r="A121" s="2" t="s">
        <v>206</v>
      </c>
      <c r="B121" s="2" t="str">
        <f>TEXT(Table_1[[#This Row],[Date]],"mmmm")</f>
        <v>August</v>
      </c>
      <c r="C121" s="3">
        <v>46253</v>
      </c>
      <c r="D121" s="2" t="s">
        <v>110</v>
      </c>
      <c r="E121" s="2" t="s">
        <v>176</v>
      </c>
      <c r="F121" s="2" t="s">
        <v>12</v>
      </c>
      <c r="G121" s="2" t="s">
        <v>19</v>
      </c>
      <c r="H121" s="2" t="s">
        <v>14</v>
      </c>
      <c r="I121" s="4">
        <v>12</v>
      </c>
      <c r="J121" s="4">
        <v>2</v>
      </c>
    </row>
    <row r="122" spans="1:10" ht="14.5" x14ac:dyDescent="0.35">
      <c r="A122" s="2" t="s">
        <v>207</v>
      </c>
      <c r="B122" s="2" t="str">
        <f>TEXT(Table_1[[#This Row],[Date]],"mmmm")</f>
        <v>August</v>
      </c>
      <c r="C122" s="5">
        <v>46235</v>
      </c>
      <c r="D122" s="2" t="s">
        <v>208</v>
      </c>
      <c r="E122" s="2" t="s">
        <v>176</v>
      </c>
      <c r="F122" s="2" t="s">
        <v>18</v>
      </c>
      <c r="G122" s="2" t="s">
        <v>27</v>
      </c>
      <c r="H122" s="2" t="s">
        <v>14</v>
      </c>
      <c r="I122" s="4">
        <v>2</v>
      </c>
      <c r="J122" s="4">
        <v>5</v>
      </c>
    </row>
    <row r="123" spans="1:10" ht="14.5" x14ac:dyDescent="0.35">
      <c r="A123" s="2" t="s">
        <v>209</v>
      </c>
      <c r="B123" s="2" t="str">
        <f>TEXT(Table_1[[#This Row],[Date]],"mmmm")</f>
        <v>September</v>
      </c>
      <c r="C123" s="3">
        <v>46279</v>
      </c>
      <c r="D123" s="2" t="s">
        <v>105</v>
      </c>
      <c r="E123" s="2" t="s">
        <v>176</v>
      </c>
      <c r="F123" s="2" t="s">
        <v>22</v>
      </c>
      <c r="G123" s="2" t="s">
        <v>27</v>
      </c>
      <c r="H123" s="2" t="s">
        <v>33</v>
      </c>
      <c r="I123" s="4">
        <v>4</v>
      </c>
      <c r="J123" s="2"/>
    </row>
    <row r="124" spans="1:10" ht="14.5" x14ac:dyDescent="0.35">
      <c r="A124" s="2" t="s">
        <v>210</v>
      </c>
      <c r="B124" s="2" t="str">
        <f>TEXT(Table_1[[#This Row],[Date]],"mmmm")</f>
        <v>September</v>
      </c>
      <c r="C124" s="5">
        <v>46271</v>
      </c>
      <c r="D124" s="2" t="s">
        <v>61</v>
      </c>
      <c r="E124" s="2" t="s">
        <v>176</v>
      </c>
      <c r="F124" s="2" t="s">
        <v>45</v>
      </c>
      <c r="G124" s="2" t="s">
        <v>27</v>
      </c>
      <c r="H124" s="2" t="s">
        <v>14</v>
      </c>
      <c r="I124" s="4">
        <v>6</v>
      </c>
      <c r="J124" s="4">
        <v>1</v>
      </c>
    </row>
    <row r="125" spans="1:10" ht="14.5" x14ac:dyDescent="0.35">
      <c r="A125" s="2" t="s">
        <v>211</v>
      </c>
      <c r="B125" s="2" t="str">
        <f>TEXT(Table_1[[#This Row],[Date]],"mmmm")</f>
        <v>August</v>
      </c>
      <c r="C125" s="3">
        <v>46265</v>
      </c>
      <c r="D125" s="2" t="s">
        <v>212</v>
      </c>
      <c r="E125" s="2" t="s">
        <v>176</v>
      </c>
      <c r="F125" s="2" t="s">
        <v>12</v>
      </c>
      <c r="G125" s="2" t="s">
        <v>19</v>
      </c>
      <c r="H125" s="2" t="s">
        <v>14</v>
      </c>
      <c r="I125" s="4">
        <v>3</v>
      </c>
      <c r="J125" s="4">
        <v>5</v>
      </c>
    </row>
    <row r="126" spans="1:10" ht="14.5" x14ac:dyDescent="0.35">
      <c r="A126" s="2" t="s">
        <v>213</v>
      </c>
      <c r="B126" s="2" t="str">
        <f>TEXT(Table_1[[#This Row],[Date]],"mmmm")</f>
        <v>August</v>
      </c>
      <c r="C126" s="3">
        <v>46244</v>
      </c>
      <c r="D126" s="2" t="s">
        <v>87</v>
      </c>
      <c r="E126" s="2" t="s">
        <v>176</v>
      </c>
      <c r="F126" s="2" t="s">
        <v>22</v>
      </c>
      <c r="G126" s="2" t="s">
        <v>19</v>
      </c>
      <c r="H126" s="2" t="s">
        <v>32</v>
      </c>
      <c r="I126" s="4">
        <v>3</v>
      </c>
      <c r="J126" s="2"/>
    </row>
    <row r="127" spans="1:10" ht="14.5" x14ac:dyDescent="0.35">
      <c r="A127" s="2" t="s">
        <v>214</v>
      </c>
      <c r="B127" s="2" t="str">
        <f>TEXT(Table_1[[#This Row],[Date]],"mmmm")</f>
        <v>August</v>
      </c>
      <c r="C127" s="5">
        <v>46242</v>
      </c>
      <c r="D127" s="2" t="s">
        <v>215</v>
      </c>
      <c r="E127" s="2" t="s">
        <v>176</v>
      </c>
      <c r="F127" s="2" t="s">
        <v>57</v>
      </c>
      <c r="G127" s="2" t="s">
        <v>19</v>
      </c>
      <c r="H127" s="2" t="s">
        <v>23</v>
      </c>
      <c r="I127" s="4">
        <v>20</v>
      </c>
      <c r="J127" s="2"/>
    </row>
    <row r="128" spans="1:10" ht="14.5" x14ac:dyDescent="0.35">
      <c r="A128" s="2" t="s">
        <v>216</v>
      </c>
      <c r="B128" s="2" t="str">
        <f>TEXT(Table_1[[#This Row],[Date]],"mmmm")</f>
        <v>September</v>
      </c>
      <c r="C128" s="5">
        <v>46268</v>
      </c>
      <c r="D128" s="2" t="s">
        <v>120</v>
      </c>
      <c r="E128" s="2" t="s">
        <v>176</v>
      </c>
      <c r="F128" s="2" t="s">
        <v>42</v>
      </c>
      <c r="G128" s="2" t="s">
        <v>27</v>
      </c>
      <c r="H128" s="2" t="s">
        <v>14</v>
      </c>
      <c r="I128" s="4">
        <v>19</v>
      </c>
      <c r="J128" s="4">
        <v>4</v>
      </c>
    </row>
    <row r="129" spans="1:10" ht="14.5" x14ac:dyDescent="0.35">
      <c r="A129" s="2" t="s">
        <v>217</v>
      </c>
      <c r="B129" s="2" t="str">
        <f>TEXT(Table_1[[#This Row],[Date]],"mmmm")</f>
        <v>September</v>
      </c>
      <c r="C129" s="5">
        <v>46271</v>
      </c>
      <c r="D129" s="2" t="s">
        <v>218</v>
      </c>
      <c r="E129" s="2" t="s">
        <v>176</v>
      </c>
      <c r="F129" s="2" t="s">
        <v>57</v>
      </c>
      <c r="G129" s="2" t="s">
        <v>13</v>
      </c>
      <c r="H129" s="2" t="s">
        <v>32</v>
      </c>
      <c r="I129" s="4">
        <v>4</v>
      </c>
      <c r="J129" s="2"/>
    </row>
    <row r="130" spans="1:10" ht="14.5" x14ac:dyDescent="0.35">
      <c r="A130" s="2" t="s">
        <v>219</v>
      </c>
      <c r="B130" s="2" t="str">
        <f>TEXT(Table_1[[#This Row],[Date]],"mmmm")</f>
        <v>September</v>
      </c>
      <c r="C130" s="3">
        <v>46275</v>
      </c>
      <c r="D130" s="2" t="s">
        <v>35</v>
      </c>
      <c r="E130" s="2" t="s">
        <v>176</v>
      </c>
      <c r="F130" s="2" t="s">
        <v>22</v>
      </c>
      <c r="G130" s="2" t="s">
        <v>27</v>
      </c>
      <c r="H130" s="2" t="s">
        <v>14</v>
      </c>
      <c r="I130" s="4">
        <v>8</v>
      </c>
      <c r="J130" s="4">
        <v>2</v>
      </c>
    </row>
    <row r="131" spans="1:10" ht="14.5" x14ac:dyDescent="0.35">
      <c r="A131" s="2" t="s">
        <v>220</v>
      </c>
      <c r="B131" s="2" t="str">
        <f>TEXT(Table_1[[#This Row],[Date]],"mmmm")</f>
        <v>August</v>
      </c>
      <c r="C131" s="5">
        <v>46239</v>
      </c>
      <c r="D131" s="2" t="s">
        <v>208</v>
      </c>
      <c r="E131" s="2" t="s">
        <v>17</v>
      </c>
      <c r="F131" s="2" t="s">
        <v>22</v>
      </c>
      <c r="G131" s="2" t="s">
        <v>13</v>
      </c>
      <c r="H131" s="2" t="s">
        <v>14</v>
      </c>
      <c r="I131" s="4">
        <v>20</v>
      </c>
      <c r="J131" s="4">
        <v>4</v>
      </c>
    </row>
    <row r="132" spans="1:10" ht="14.5" x14ac:dyDescent="0.35">
      <c r="A132" s="2" t="s">
        <v>221</v>
      </c>
      <c r="B132" s="2" t="str">
        <f>TEXT(Table_1[[#This Row],[Date]],"mmmm")</f>
        <v>August</v>
      </c>
      <c r="C132" s="5">
        <v>46237</v>
      </c>
      <c r="D132" s="2" t="s">
        <v>39</v>
      </c>
      <c r="E132" s="2" t="s">
        <v>11</v>
      </c>
      <c r="F132" s="2" t="s">
        <v>22</v>
      </c>
      <c r="G132" s="2" t="s">
        <v>27</v>
      </c>
      <c r="H132" s="2" t="s">
        <v>14</v>
      </c>
      <c r="I132" s="4">
        <v>15</v>
      </c>
      <c r="J132" s="4">
        <v>1</v>
      </c>
    </row>
    <row r="133" spans="1:10" ht="14.5" x14ac:dyDescent="0.35">
      <c r="A133" s="2" t="s">
        <v>222</v>
      </c>
      <c r="B133" s="2" t="str">
        <f>TEXT(Table_1[[#This Row],[Date]],"mmmm")</f>
        <v>August</v>
      </c>
      <c r="C133" s="3">
        <v>46251</v>
      </c>
      <c r="D133" s="2" t="s">
        <v>94</v>
      </c>
      <c r="E133" s="2" t="s">
        <v>26</v>
      </c>
      <c r="F133" s="2" t="s">
        <v>18</v>
      </c>
      <c r="G133" s="2" t="s">
        <v>27</v>
      </c>
      <c r="H133" s="2" t="s">
        <v>33</v>
      </c>
      <c r="I133" s="4">
        <v>7</v>
      </c>
      <c r="J133" s="2"/>
    </row>
    <row r="134" spans="1:10" ht="14.5" x14ac:dyDescent="0.35">
      <c r="A134" s="2" t="s">
        <v>223</v>
      </c>
      <c r="B134" s="2" t="str">
        <f>TEXT(Table_1[[#This Row],[Date]],"mmmm")</f>
        <v>August</v>
      </c>
      <c r="C134" s="5">
        <v>46242</v>
      </c>
      <c r="D134" s="2" t="s">
        <v>224</v>
      </c>
      <c r="E134" s="2" t="s">
        <v>17</v>
      </c>
      <c r="F134" s="2" t="s">
        <v>57</v>
      </c>
      <c r="G134" s="2" t="s">
        <v>13</v>
      </c>
      <c r="H134" s="2" t="s">
        <v>14</v>
      </c>
      <c r="I134" s="4">
        <v>9</v>
      </c>
      <c r="J134" s="4">
        <v>2</v>
      </c>
    </row>
    <row r="135" spans="1:10" ht="14.5" x14ac:dyDescent="0.35">
      <c r="A135" s="2" t="s">
        <v>225</v>
      </c>
      <c r="B135" s="2" t="str">
        <f>TEXT(Table_1[[#This Row],[Date]],"mmmm")</f>
        <v>August</v>
      </c>
      <c r="C135" s="5">
        <v>46238</v>
      </c>
      <c r="D135" s="2" t="s">
        <v>147</v>
      </c>
      <c r="E135" s="2" t="s">
        <v>11</v>
      </c>
      <c r="F135" s="2" t="s">
        <v>22</v>
      </c>
      <c r="G135" s="2" t="s">
        <v>19</v>
      </c>
      <c r="H135" s="2" t="s">
        <v>23</v>
      </c>
      <c r="I135" s="4">
        <v>19</v>
      </c>
      <c r="J135" s="2"/>
    </row>
    <row r="136" spans="1:10" ht="14.5" x14ac:dyDescent="0.35">
      <c r="A136" s="2" t="s">
        <v>226</v>
      </c>
      <c r="B136" s="2" t="str">
        <f>TEXT(Table_1[[#This Row],[Date]],"mmmm")</f>
        <v>August</v>
      </c>
      <c r="C136" s="3">
        <v>46263</v>
      </c>
      <c r="D136" s="2" t="s">
        <v>64</v>
      </c>
      <c r="E136" s="2" t="s">
        <v>11</v>
      </c>
      <c r="F136" s="2" t="s">
        <v>12</v>
      </c>
      <c r="G136" s="2" t="s">
        <v>27</v>
      </c>
      <c r="H136" s="2" t="s">
        <v>14</v>
      </c>
      <c r="I136" s="4">
        <v>13</v>
      </c>
      <c r="J136" s="4">
        <v>3</v>
      </c>
    </row>
    <row r="137" spans="1:10" ht="14.5" x14ac:dyDescent="0.35">
      <c r="A137" s="2" t="s">
        <v>227</v>
      </c>
      <c r="B137" s="2" t="str">
        <f>TEXT(Table_1[[#This Row],[Date]],"mmmm")</f>
        <v>September</v>
      </c>
      <c r="C137" s="5">
        <v>46269</v>
      </c>
      <c r="D137" s="2" t="s">
        <v>143</v>
      </c>
      <c r="E137" s="2" t="s">
        <v>11</v>
      </c>
      <c r="F137" s="2" t="s">
        <v>42</v>
      </c>
      <c r="G137" s="2" t="s">
        <v>27</v>
      </c>
      <c r="H137" s="2" t="s">
        <v>23</v>
      </c>
      <c r="I137" s="4">
        <v>14</v>
      </c>
      <c r="J137" s="2"/>
    </row>
    <row r="138" spans="1:10" ht="14.5" x14ac:dyDescent="0.35">
      <c r="A138" s="2" t="s">
        <v>228</v>
      </c>
      <c r="B138" s="2" t="str">
        <f>TEXT(Table_1[[#This Row],[Date]],"mmmm")</f>
        <v>September</v>
      </c>
      <c r="C138" s="5">
        <v>46273</v>
      </c>
      <c r="D138" s="2" t="s">
        <v>78</v>
      </c>
      <c r="E138" s="2" t="s">
        <v>11</v>
      </c>
      <c r="F138" s="2" t="s">
        <v>45</v>
      </c>
      <c r="G138" s="2" t="s">
        <v>13</v>
      </c>
      <c r="H138" s="2" t="s">
        <v>14</v>
      </c>
      <c r="I138" s="4">
        <v>22</v>
      </c>
      <c r="J138" s="4">
        <v>5</v>
      </c>
    </row>
    <row r="139" spans="1:10" ht="14.5" x14ac:dyDescent="0.35">
      <c r="A139" s="2" t="s">
        <v>229</v>
      </c>
      <c r="B139" s="2" t="str">
        <f>TEXT(Table_1[[#This Row],[Date]],"mmmm")</f>
        <v>August</v>
      </c>
      <c r="C139" s="5">
        <v>46236</v>
      </c>
      <c r="D139" s="2" t="s">
        <v>230</v>
      </c>
      <c r="E139" s="2" t="s">
        <v>11</v>
      </c>
      <c r="F139" s="2" t="s">
        <v>18</v>
      </c>
      <c r="G139" s="2" t="s">
        <v>19</v>
      </c>
      <c r="H139" s="2" t="s">
        <v>23</v>
      </c>
      <c r="I139" s="4">
        <v>6</v>
      </c>
      <c r="J139" s="2"/>
    </row>
    <row r="140" spans="1:10" ht="14.5" x14ac:dyDescent="0.35">
      <c r="A140" s="2" t="s">
        <v>231</v>
      </c>
      <c r="B140" s="2" t="str">
        <f>TEXT(Table_1[[#This Row],[Date]],"mmmm")</f>
        <v>September</v>
      </c>
      <c r="C140" s="5">
        <v>46268</v>
      </c>
      <c r="D140" s="2" t="s">
        <v>71</v>
      </c>
      <c r="E140" s="2" t="s">
        <v>11</v>
      </c>
      <c r="F140" s="2" t="s">
        <v>18</v>
      </c>
      <c r="G140" s="2" t="s">
        <v>27</v>
      </c>
      <c r="H140" s="2" t="s">
        <v>14</v>
      </c>
      <c r="I140" s="4">
        <v>19</v>
      </c>
      <c r="J140" s="4">
        <v>4</v>
      </c>
    </row>
    <row r="141" spans="1:10" ht="14.5" x14ac:dyDescent="0.35">
      <c r="A141" s="2" t="s">
        <v>232</v>
      </c>
      <c r="B141" s="2" t="str">
        <f>TEXT(Table_1[[#This Row],[Date]],"mmmm")</f>
        <v>August</v>
      </c>
      <c r="C141" s="5">
        <v>46240</v>
      </c>
      <c r="D141" s="2" t="s">
        <v>41</v>
      </c>
      <c r="E141" s="2" t="s">
        <v>11</v>
      </c>
      <c r="F141" s="2" t="s">
        <v>42</v>
      </c>
      <c r="G141" s="2" t="s">
        <v>27</v>
      </c>
      <c r="H141" s="2" t="s">
        <v>14</v>
      </c>
      <c r="I141" s="4">
        <v>22</v>
      </c>
      <c r="J141" s="4">
        <v>1</v>
      </c>
    </row>
    <row r="142" spans="1:10" ht="14.5" x14ac:dyDescent="0.35">
      <c r="A142" s="2" t="s">
        <v>233</v>
      </c>
      <c r="B142" s="2" t="str">
        <f>TEXT(Table_1[[#This Row],[Date]],"mmmm")</f>
        <v>August</v>
      </c>
      <c r="C142" s="3">
        <v>46256</v>
      </c>
      <c r="D142" s="2" t="s">
        <v>234</v>
      </c>
      <c r="E142" s="2" t="s">
        <v>11</v>
      </c>
      <c r="F142" s="2" t="s">
        <v>42</v>
      </c>
      <c r="G142" s="2" t="s">
        <v>27</v>
      </c>
      <c r="H142" s="2" t="s">
        <v>14</v>
      </c>
      <c r="I142" s="4">
        <v>13</v>
      </c>
      <c r="J142" s="4">
        <v>5</v>
      </c>
    </row>
    <row r="143" spans="1:10" ht="14.5" x14ac:dyDescent="0.35">
      <c r="A143" s="2" t="s">
        <v>235</v>
      </c>
      <c r="B143" s="2" t="str">
        <f>TEXT(Table_1[[#This Row],[Date]],"mmmm")</f>
        <v>August</v>
      </c>
      <c r="C143" s="3">
        <v>46264</v>
      </c>
      <c r="D143" s="2" t="s">
        <v>236</v>
      </c>
      <c r="E143" s="2" t="s">
        <v>17</v>
      </c>
      <c r="F143" s="2" t="s">
        <v>12</v>
      </c>
      <c r="G143" s="2" t="s">
        <v>27</v>
      </c>
      <c r="H143" s="2" t="s">
        <v>14</v>
      </c>
      <c r="I143" s="4">
        <v>13</v>
      </c>
      <c r="J143" s="4">
        <v>5</v>
      </c>
    </row>
    <row r="144" spans="1:10" ht="14.5" x14ac:dyDescent="0.35">
      <c r="A144" s="2" t="s">
        <v>237</v>
      </c>
      <c r="B144" s="2" t="str">
        <f>TEXT(Table_1[[#This Row],[Date]],"mmmm")</f>
        <v>September</v>
      </c>
      <c r="C144" s="3">
        <v>46277</v>
      </c>
      <c r="D144" s="2" t="s">
        <v>238</v>
      </c>
      <c r="E144" s="2" t="s">
        <v>176</v>
      </c>
      <c r="F144" s="2" t="s">
        <v>57</v>
      </c>
      <c r="G144" s="2" t="s">
        <v>27</v>
      </c>
      <c r="H144" s="2" t="s">
        <v>14</v>
      </c>
      <c r="I144" s="4">
        <v>17</v>
      </c>
      <c r="J144" s="4">
        <v>3</v>
      </c>
    </row>
    <row r="145" spans="1:10" ht="14.5" x14ac:dyDescent="0.35">
      <c r="A145" s="2" t="s">
        <v>239</v>
      </c>
      <c r="B145" s="2" t="str">
        <f>TEXT(Table_1[[#This Row],[Date]],"mmmm")</f>
        <v>September</v>
      </c>
      <c r="C145" s="5">
        <v>46266</v>
      </c>
      <c r="D145" s="2" t="s">
        <v>171</v>
      </c>
      <c r="E145" s="2" t="s">
        <v>26</v>
      </c>
      <c r="F145" s="2" t="s">
        <v>18</v>
      </c>
      <c r="G145" s="2" t="s">
        <v>27</v>
      </c>
      <c r="H145" s="2" t="s">
        <v>14</v>
      </c>
      <c r="I145" s="4">
        <v>9</v>
      </c>
      <c r="J145" s="4">
        <v>5</v>
      </c>
    </row>
    <row r="146" spans="1:10" ht="14.5" x14ac:dyDescent="0.35">
      <c r="A146" s="2" t="s">
        <v>240</v>
      </c>
      <c r="B146" s="2" t="str">
        <f>TEXT(Table_1[[#This Row],[Date]],"mmmm")</f>
        <v>August</v>
      </c>
      <c r="C146" s="3">
        <v>46253</v>
      </c>
      <c r="D146" s="2" t="s">
        <v>69</v>
      </c>
      <c r="E146" s="2" t="s">
        <v>17</v>
      </c>
      <c r="F146" s="2" t="s">
        <v>42</v>
      </c>
      <c r="G146" s="2" t="s">
        <v>19</v>
      </c>
      <c r="H146" s="2" t="s">
        <v>14</v>
      </c>
      <c r="I146" s="4">
        <v>1</v>
      </c>
      <c r="J146" s="4">
        <v>5</v>
      </c>
    </row>
    <row r="147" spans="1:10" ht="14.5" x14ac:dyDescent="0.35">
      <c r="A147" s="2" t="s">
        <v>241</v>
      </c>
      <c r="B147" s="2" t="str">
        <f>TEXT(Table_1[[#This Row],[Date]],"mmmm")</f>
        <v>September</v>
      </c>
      <c r="C147" s="3">
        <v>46280</v>
      </c>
      <c r="D147" s="2" t="s">
        <v>215</v>
      </c>
      <c r="E147" s="2" t="s">
        <v>11</v>
      </c>
      <c r="F147" s="2" t="s">
        <v>22</v>
      </c>
      <c r="G147" s="2" t="s">
        <v>27</v>
      </c>
      <c r="H147" s="2" t="s">
        <v>14</v>
      </c>
      <c r="I147" s="4">
        <v>14</v>
      </c>
      <c r="J147" s="4">
        <v>1</v>
      </c>
    </row>
    <row r="148" spans="1:10" ht="14.5" x14ac:dyDescent="0.35">
      <c r="A148" s="2" t="s">
        <v>242</v>
      </c>
      <c r="B148" s="2" t="str">
        <f>TEXT(Table_1[[#This Row],[Date]],"mmmm")</f>
        <v>August</v>
      </c>
      <c r="C148" s="5">
        <v>46242</v>
      </c>
      <c r="D148" s="2" t="s">
        <v>56</v>
      </c>
      <c r="E148" s="2" t="s">
        <v>176</v>
      </c>
      <c r="F148" s="2" t="s">
        <v>42</v>
      </c>
      <c r="G148" s="2" t="s">
        <v>19</v>
      </c>
      <c r="H148" s="2" t="s">
        <v>23</v>
      </c>
      <c r="I148" s="4">
        <v>5</v>
      </c>
      <c r="J148" s="2"/>
    </row>
    <row r="149" spans="1:10" ht="14.5" x14ac:dyDescent="0.35">
      <c r="A149" s="2" t="s">
        <v>243</v>
      </c>
      <c r="B149" s="2" t="str">
        <f>TEXT(Table_1[[#This Row],[Date]],"mmmm")</f>
        <v>September</v>
      </c>
      <c r="C149" s="3">
        <v>46280</v>
      </c>
      <c r="D149" s="2" t="s">
        <v>87</v>
      </c>
      <c r="E149" s="2" t="s">
        <v>26</v>
      </c>
      <c r="F149" s="2" t="s">
        <v>45</v>
      </c>
      <c r="G149" s="2" t="s">
        <v>27</v>
      </c>
      <c r="H149" s="2" t="s">
        <v>14</v>
      </c>
      <c r="I149" s="4">
        <v>16</v>
      </c>
      <c r="J149" s="4">
        <v>4</v>
      </c>
    </row>
    <row r="150" spans="1:10" ht="14.5" x14ac:dyDescent="0.35">
      <c r="A150" s="2" t="s">
        <v>244</v>
      </c>
      <c r="B150" s="2" t="str">
        <f>TEXT(Table_1[[#This Row],[Date]],"mmmm")</f>
        <v>August</v>
      </c>
      <c r="C150" s="3">
        <v>46264</v>
      </c>
      <c r="D150" s="2" t="s">
        <v>157</v>
      </c>
      <c r="E150" s="2" t="s">
        <v>17</v>
      </c>
      <c r="F150" s="2" t="s">
        <v>57</v>
      </c>
      <c r="G150" s="2" t="s">
        <v>13</v>
      </c>
      <c r="H150" s="2" t="s">
        <v>14</v>
      </c>
      <c r="I150" s="4">
        <v>20</v>
      </c>
      <c r="J150" s="4">
        <v>5</v>
      </c>
    </row>
    <row r="151" spans="1:10" ht="14.5" x14ac:dyDescent="0.35">
      <c r="A151" s="2" t="s">
        <v>245</v>
      </c>
      <c r="B151" s="2" t="str">
        <f>TEXT(Table_1[[#This Row],[Date]],"mmmm")</f>
        <v>August</v>
      </c>
      <c r="C151" s="5">
        <v>46239</v>
      </c>
      <c r="D151" s="2" t="s">
        <v>64</v>
      </c>
      <c r="E151" s="2" t="s">
        <v>11</v>
      </c>
      <c r="F151" s="2" t="s">
        <v>45</v>
      </c>
      <c r="G151" s="2" t="s">
        <v>19</v>
      </c>
      <c r="H151" s="2" t="s">
        <v>33</v>
      </c>
      <c r="I151" s="4">
        <v>11</v>
      </c>
      <c r="J151" s="2"/>
    </row>
  </sheetData>
  <customSheetViews>
    <customSheetView guid="{7F091B67-53E7-4D79-8CF2-8E7B812206CA}" filter="1" showAutoFilter="1">
      <pageMargins left="0.7" right="0.7" top="0.75" bottom="0.75" header="0.3" footer="0.3"/>
      <autoFilter ref="A1:I151" xr:uid="{A5D725BA-87ED-4B7B-8015-6D13F3B9858D}"/>
    </customSheetView>
  </customSheetView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Priya</dc:creator>
  <cp:lastModifiedBy>Sakshi Priya</cp:lastModifiedBy>
  <dcterms:created xsi:type="dcterms:W3CDTF">2026-09-18T11:37:38Z</dcterms:created>
  <dcterms:modified xsi:type="dcterms:W3CDTF">2026-09-18T11:59:31Z</dcterms:modified>
</cp:coreProperties>
</file>